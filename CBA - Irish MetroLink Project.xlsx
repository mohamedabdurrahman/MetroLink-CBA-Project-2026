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esktop\Opportunities\1. New life in Ireland\EY D&amp;I\EY Internship\Projects\"/>
    </mc:Choice>
  </mc:AlternateContent>
  <xr:revisionPtr revIDLastSave="0" documentId="13_ncr:1_{83202ECF-0F62-431D-8F94-4BD7D96CC196}" xr6:coauthVersionLast="47" xr6:coauthVersionMax="47" xr10:uidLastSave="{00000000-0000-0000-0000-000000000000}"/>
  <bookViews>
    <workbookView xWindow="-110" yWindow="-110" windowWidth="19420" windowHeight="10300" xr2:uid="{00000000-000D-0000-FFFF-FFFF00000000}"/>
  </bookViews>
  <sheets>
    <sheet name="MetroLink_CBA"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3" i="5" l="1"/>
  <c r="E3" i="5" a="1"/>
  <c r="E3" i="5" s="1"/>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B20" i="5"/>
  <c r="I19" i="5"/>
  <c r="I18" i="5"/>
  <c r="I17" i="5"/>
  <c r="I16" i="5"/>
  <c r="I15" i="5"/>
  <c r="I14" i="5"/>
  <c r="I13" i="5"/>
  <c r="I12" i="5"/>
  <c r="I11" i="5"/>
  <c r="I10" i="5"/>
  <c r="I9" i="5"/>
  <c r="I8" i="5"/>
  <c r="I7" i="5"/>
  <c r="I6" i="5"/>
  <c r="I5" i="5"/>
  <c r="I4" i="5"/>
  <c r="D4" i="5"/>
  <c r="I3" i="5"/>
  <c r="H3" i="5"/>
  <c r="J3" i="5" s="1"/>
  <c r="F3" i="5"/>
  <c r="H4" i="5" l="1"/>
  <c r="J4" i="5" s="1"/>
  <c r="E4" i="5" a="1"/>
  <c r="E4" i="5" s="1"/>
  <c r="K3" i="5"/>
  <c r="G3" i="5"/>
  <c r="M3" i="5"/>
  <c r="N3" i="5" s="1"/>
  <c r="D5" i="5"/>
  <c r="E5" i="5" s="1" a="1"/>
  <c r="E5" i="5" s="1"/>
  <c r="F4" i="5"/>
  <c r="K4" i="5"/>
  <c r="M4" i="5" l="1"/>
  <c r="N4" i="5" s="1"/>
  <c r="G4" i="5"/>
  <c r="D6" i="5"/>
  <c r="E6" i="5" s="1" a="1"/>
  <c r="E6" i="5" s="1"/>
  <c r="F5" i="5"/>
  <c r="G5" i="5" s="1"/>
  <c r="H5" i="5"/>
  <c r="J5" i="5" s="1"/>
  <c r="D7" i="5" l="1"/>
  <c r="E7" i="5" s="1" a="1"/>
  <c r="E7" i="5" s="1"/>
  <c r="F6" i="5"/>
  <c r="G6" i="5"/>
  <c r="H6" i="5"/>
  <c r="J6" i="5" s="1"/>
  <c r="K5" i="5"/>
  <c r="M5" i="5" l="1"/>
  <c r="N5" i="5" s="1"/>
  <c r="K6" i="5"/>
  <c r="M6" i="5" s="1"/>
  <c r="D8" i="5"/>
  <c r="E8" i="5" s="1" a="1"/>
  <c r="E8" i="5" s="1"/>
  <c r="F7" i="5"/>
  <c r="G7" i="5"/>
  <c r="H7" i="5"/>
  <c r="J7" i="5" s="1"/>
  <c r="K7" i="5" l="1"/>
  <c r="D9" i="5"/>
  <c r="E9" i="5" s="1" a="1"/>
  <c r="E9" i="5" s="1"/>
  <c r="F8" i="5"/>
  <c r="G8" i="5" s="1"/>
  <c r="H8" i="5"/>
  <c r="J8" i="5" s="1"/>
  <c r="N6" i="5"/>
  <c r="M7" i="5" l="1"/>
  <c r="N7" i="5" s="1"/>
  <c r="D10" i="5"/>
  <c r="E10" i="5" s="1" a="1"/>
  <c r="E10" i="5" s="1"/>
  <c r="F9" i="5"/>
  <c r="G9" i="5" s="1"/>
  <c r="H9" i="5"/>
  <c r="J9" i="5" s="1"/>
  <c r="K8" i="5"/>
  <c r="M8" i="5" s="1"/>
  <c r="N8" i="5" l="1"/>
  <c r="K9" i="5"/>
  <c r="D11" i="5"/>
  <c r="E11" i="5" s="1" a="1"/>
  <c r="E11" i="5" s="1"/>
  <c r="F10" i="5"/>
  <c r="H10" i="5"/>
  <c r="J10" i="5" s="1"/>
  <c r="G10" i="5"/>
  <c r="M9" i="5" l="1"/>
  <c r="N9" i="5" s="1"/>
  <c r="H11" i="5"/>
  <c r="J11" i="5" s="1"/>
  <c r="D12" i="5"/>
  <c r="E12" i="5" s="1" a="1"/>
  <c r="E12" i="5" s="1"/>
  <c r="F11" i="5"/>
  <c r="G11" i="5" s="1"/>
  <c r="K10" i="5"/>
  <c r="M10" i="5" s="1"/>
  <c r="K11" i="5" l="1"/>
  <c r="M11" i="5" s="1"/>
  <c r="H12" i="5"/>
  <c r="J12" i="5" s="1"/>
  <c r="F12" i="5"/>
  <c r="G12" i="5" s="1"/>
  <c r="D13" i="5"/>
  <c r="E13" i="5" s="1" a="1"/>
  <c r="E13" i="5" s="1"/>
  <c r="N10" i="5"/>
  <c r="N11" i="5" l="1"/>
  <c r="K12" i="5"/>
  <c r="M12" i="5" s="1"/>
  <c r="N12" i="5" s="1"/>
  <c r="D14" i="5"/>
  <c r="E14" i="5" s="1" a="1"/>
  <c r="E14" i="5" s="1"/>
  <c r="F13" i="5"/>
  <c r="G13" i="5"/>
  <c r="H13" i="5"/>
  <c r="J13" i="5" s="1"/>
  <c r="K13" i="5" l="1"/>
  <c r="M13" i="5" s="1"/>
  <c r="N13" i="5" s="1"/>
  <c r="F14" i="5"/>
  <c r="G14" i="5" s="1"/>
  <c r="D15" i="5"/>
  <c r="E15" i="5" s="1" a="1"/>
  <c r="E15" i="5" s="1"/>
  <c r="H14" i="5"/>
  <c r="J14" i="5" s="1"/>
  <c r="K14" i="5" s="1"/>
  <c r="M14" i="5" s="1"/>
  <c r="N14" i="5" l="1"/>
  <c r="H15" i="5"/>
  <c r="J15" i="5" s="1"/>
  <c r="F15" i="5"/>
  <c r="G15" i="5" s="1"/>
  <c r="D16" i="5"/>
  <c r="E16" i="5" s="1" a="1"/>
  <c r="E16" i="5" s="1"/>
  <c r="K15" i="5" l="1"/>
  <c r="M15" i="5" s="1"/>
  <c r="N15" i="5" s="1"/>
  <c r="F16" i="5"/>
  <c r="D17" i="5"/>
  <c r="E17" i="5" s="1" a="1"/>
  <c r="E17" i="5" s="1"/>
  <c r="G16" i="5"/>
  <c r="H16" i="5"/>
  <c r="J16" i="5" s="1"/>
  <c r="D18" i="5" l="1"/>
  <c r="E18" i="5" s="1" a="1"/>
  <c r="E18" i="5" s="1"/>
  <c r="F17" i="5"/>
  <c r="G17" i="5"/>
  <c r="H17" i="5"/>
  <c r="J17" i="5" s="1"/>
  <c r="K16" i="5"/>
  <c r="M16" i="5" s="1"/>
  <c r="N16" i="5" s="1"/>
  <c r="K17" i="5" l="1"/>
  <c r="M17" i="5" s="1"/>
  <c r="N17" i="5" s="1"/>
  <c r="G18" i="5"/>
  <c r="D19" i="5"/>
  <c r="E19" i="5" s="1" a="1"/>
  <c r="E19" i="5" s="1"/>
  <c r="F18" i="5"/>
  <c r="H18" i="5"/>
  <c r="J18" i="5" s="1"/>
  <c r="K18" i="5" s="1"/>
  <c r="M18" i="5" s="1"/>
  <c r="N18" i="5" l="1"/>
  <c r="H19" i="5"/>
  <c r="J19" i="5" s="1"/>
  <c r="F19" i="5"/>
  <c r="G19" i="5" s="1"/>
  <c r="D20" i="5"/>
  <c r="E20" i="5" s="1" a="1"/>
  <c r="E20" i="5" s="1"/>
  <c r="H20" i="5" l="1"/>
  <c r="J20" i="5" s="1"/>
  <c r="F20" i="5"/>
  <c r="G20" i="5" s="1"/>
  <c r="D21" i="5"/>
  <c r="E21" i="5" s="1" a="1"/>
  <c r="E21" i="5" s="1"/>
  <c r="K19" i="5"/>
  <c r="M19" i="5" s="1"/>
  <c r="N19" i="5" s="1"/>
  <c r="D22" i="5" l="1"/>
  <c r="E22" i="5" s="1" a="1"/>
  <c r="E22" i="5" s="1"/>
  <c r="G21" i="5"/>
  <c r="F21" i="5"/>
  <c r="H21" i="5"/>
  <c r="J21" i="5" s="1"/>
  <c r="K20" i="5"/>
  <c r="M20" i="5" s="1"/>
  <c r="N20" i="5" s="1"/>
  <c r="D23" i="5" l="1"/>
  <c r="E23" i="5" s="1" a="1"/>
  <c r="E23" i="5" s="1"/>
  <c r="F22" i="5"/>
  <c r="G22" i="5"/>
  <c r="H22" i="5"/>
  <c r="J22" i="5" s="1"/>
  <c r="K21" i="5"/>
  <c r="M21" i="5" s="1"/>
  <c r="N21" i="5" s="1"/>
  <c r="K22" i="5" l="1"/>
  <c r="M22" i="5" s="1"/>
  <c r="N22" i="5" s="1"/>
  <c r="D24" i="5"/>
  <c r="E24" i="5" s="1" a="1"/>
  <c r="E24" i="5" s="1"/>
  <c r="F23" i="5"/>
  <c r="H23" i="5"/>
  <c r="J23" i="5" s="1"/>
  <c r="G23" i="5"/>
  <c r="H24" i="5" l="1"/>
  <c r="J24" i="5" s="1"/>
  <c r="G24" i="5"/>
  <c r="D25" i="5"/>
  <c r="E25" i="5" s="1" a="1"/>
  <c r="E25" i="5" s="1"/>
  <c r="F24" i="5"/>
  <c r="K23" i="5"/>
  <c r="M23" i="5" s="1"/>
  <c r="N23" i="5" s="1"/>
  <c r="K24" i="5" l="1"/>
  <c r="M24" i="5" s="1"/>
  <c r="N24" i="5" s="1"/>
  <c r="H25" i="5"/>
  <c r="J25" i="5" s="1"/>
  <c r="G25" i="5"/>
  <c r="D26" i="5"/>
  <c r="E26" i="5" s="1" a="1"/>
  <c r="E26" i="5" s="1"/>
  <c r="F25" i="5"/>
  <c r="K25" i="5" l="1"/>
  <c r="M25" i="5" s="1"/>
  <c r="N25" i="5" s="1"/>
  <c r="D27" i="5"/>
  <c r="E27" i="5" s="1" a="1"/>
  <c r="E27" i="5" s="1"/>
  <c r="F26" i="5"/>
  <c r="G26" i="5"/>
  <c r="H26" i="5"/>
  <c r="J26" i="5" s="1"/>
  <c r="K26" i="5" l="1"/>
  <c r="M26" i="5" s="1"/>
  <c r="N26" i="5" s="1"/>
  <c r="D28" i="5"/>
  <c r="E28" i="5" s="1" a="1"/>
  <c r="E28" i="5" s="1"/>
  <c r="F27" i="5"/>
  <c r="H27" i="5"/>
  <c r="J27" i="5" s="1"/>
  <c r="G27" i="5"/>
  <c r="H28" i="5" l="1"/>
  <c r="J28" i="5" s="1"/>
  <c r="G28" i="5"/>
  <c r="D29" i="5"/>
  <c r="E29" i="5" s="1" a="1"/>
  <c r="E29" i="5" s="1"/>
  <c r="F28" i="5"/>
  <c r="K27" i="5"/>
  <c r="M27" i="5" s="1"/>
  <c r="N27" i="5" s="1"/>
  <c r="K28" i="5" l="1"/>
  <c r="M28" i="5" s="1"/>
  <c r="N28" i="5" s="1"/>
  <c r="D30" i="5"/>
  <c r="E30" i="5" s="1" a="1"/>
  <c r="E30" i="5" s="1"/>
  <c r="H29" i="5"/>
  <c r="J29" i="5" s="1"/>
  <c r="K29" i="5" s="1"/>
  <c r="M29" i="5" s="1"/>
  <c r="F29" i="5"/>
  <c r="G29" i="5" s="1"/>
  <c r="N29" i="5" l="1"/>
  <c r="D31" i="5"/>
  <c r="E31" i="5" s="1" a="1"/>
  <c r="E31" i="5" s="1"/>
  <c r="F30" i="5"/>
  <c r="G30" i="5" s="1"/>
  <c r="H30" i="5"/>
  <c r="J30" i="5" s="1"/>
  <c r="K30" i="5" s="1"/>
  <c r="M30" i="5" s="1"/>
  <c r="N30" i="5" s="1"/>
  <c r="D32" i="5" l="1"/>
  <c r="E32" i="5" s="1" a="1"/>
  <c r="E32" i="5" s="1"/>
  <c r="F31" i="5"/>
  <c r="G31" i="5" s="1"/>
  <c r="H31" i="5"/>
  <c r="J31" i="5" s="1"/>
  <c r="H32" i="5" l="1"/>
  <c r="J32" i="5" s="1"/>
  <c r="F32" i="5"/>
  <c r="G32" i="5" s="1"/>
  <c r="D33" i="5"/>
  <c r="E33" i="5" s="1" a="1"/>
  <c r="E33" i="5" s="1"/>
  <c r="K31" i="5"/>
  <c r="M31" i="5" s="1"/>
  <c r="N31" i="5" s="1"/>
  <c r="H33" i="5" l="1"/>
  <c r="J33" i="5" s="1"/>
  <c r="G33" i="5"/>
  <c r="D34" i="5"/>
  <c r="E34" i="5" s="1" a="1"/>
  <c r="E34" i="5" s="1"/>
  <c r="F33" i="5"/>
  <c r="K32" i="5"/>
  <c r="M32" i="5" s="1"/>
  <c r="N32" i="5" s="1"/>
  <c r="D35" i="5" l="1"/>
  <c r="E35" i="5" s="1" a="1"/>
  <c r="E35" i="5" s="1"/>
  <c r="F34" i="5"/>
  <c r="G34" i="5" s="1"/>
  <c r="H34" i="5"/>
  <c r="J34" i="5" s="1"/>
  <c r="K34" i="5" s="1"/>
  <c r="M34" i="5" s="1"/>
  <c r="K33" i="5"/>
  <c r="M33" i="5" s="1"/>
  <c r="N33" i="5" s="1"/>
  <c r="N34" i="5" l="1"/>
  <c r="G35" i="5"/>
  <c r="D36" i="5"/>
  <c r="E36" i="5" s="1" a="1"/>
  <c r="E36" i="5" s="1"/>
  <c r="F35" i="5"/>
  <c r="H35" i="5"/>
  <c r="J35" i="5" s="1"/>
  <c r="K35" i="5" s="1"/>
  <c r="M35" i="5" s="1"/>
  <c r="H36" i="5" l="1"/>
  <c r="J36" i="5" s="1"/>
  <c r="F36" i="5"/>
  <c r="G36" i="5" s="1"/>
  <c r="D37" i="5"/>
  <c r="E37" i="5" s="1" a="1"/>
  <c r="E37" i="5" s="1"/>
  <c r="N35" i="5"/>
  <c r="H37" i="5" l="1"/>
  <c r="J37" i="5" s="1"/>
  <c r="D38" i="5"/>
  <c r="E38" i="5" s="1" a="1"/>
  <c r="E38" i="5" s="1"/>
  <c r="F37" i="5"/>
  <c r="G37" i="5" s="1"/>
  <c r="K36" i="5"/>
  <c r="M36" i="5" s="1"/>
  <c r="N36" i="5" s="1"/>
  <c r="D39" i="5" l="1"/>
  <c r="E39" i="5" s="1" a="1"/>
  <c r="E39" i="5" s="1"/>
  <c r="F38" i="5"/>
  <c r="G38" i="5" s="1"/>
  <c r="H38" i="5"/>
  <c r="J38" i="5" s="1"/>
  <c r="K37" i="5"/>
  <c r="M37" i="5" s="1"/>
  <c r="N37" i="5" s="1"/>
  <c r="K38" i="5" l="1"/>
  <c r="M38" i="5" s="1"/>
  <c r="N38" i="5" s="1"/>
  <c r="D40" i="5"/>
  <c r="E40" i="5" s="1" a="1"/>
  <c r="E40" i="5" s="1"/>
  <c r="F39" i="5"/>
  <c r="G39" i="5" s="1"/>
  <c r="H39" i="5"/>
  <c r="J39" i="5" s="1"/>
  <c r="H40" i="5" l="1"/>
  <c r="J40" i="5" s="1"/>
  <c r="F40" i="5"/>
  <c r="G40" i="5" s="1"/>
  <c r="D41" i="5"/>
  <c r="E41" i="5" s="1" a="1"/>
  <c r="E41" i="5" s="1"/>
  <c r="K39" i="5"/>
  <c r="M39" i="5" s="1"/>
  <c r="N39" i="5" s="1"/>
  <c r="H41" i="5" l="1"/>
  <c r="J41" i="5" s="1"/>
  <c r="G41" i="5"/>
  <c r="D42" i="5"/>
  <c r="E42" i="5" s="1" a="1"/>
  <c r="E42" i="5" s="1"/>
  <c r="F41" i="5"/>
  <c r="K40" i="5"/>
  <c r="M40" i="5" s="1"/>
  <c r="N40" i="5" s="1"/>
  <c r="D43" i="5" l="1"/>
  <c r="E43" i="5" s="1" a="1"/>
  <c r="E43" i="5" s="1"/>
  <c r="F42" i="5"/>
  <c r="G42" i="5" s="1"/>
  <c r="H42" i="5"/>
  <c r="J42" i="5" s="1"/>
  <c r="K42" i="5" s="1"/>
  <c r="M42" i="5" s="1"/>
  <c r="K41" i="5"/>
  <c r="M41" i="5" s="1"/>
  <c r="N41" i="5" s="1"/>
  <c r="N42" i="5" l="1"/>
  <c r="D44" i="5"/>
  <c r="E44" i="5" s="1" a="1"/>
  <c r="E44" i="5" s="1"/>
  <c r="F43" i="5"/>
  <c r="G43" i="5"/>
  <c r="H43" i="5"/>
  <c r="J43" i="5" s="1"/>
  <c r="K43" i="5" l="1"/>
  <c r="M43" i="5" s="1"/>
  <c r="N43" i="5" s="1"/>
  <c r="H44" i="5"/>
  <c r="J44" i="5" s="1"/>
  <c r="G44" i="5"/>
  <c r="F44" i="5"/>
  <c r="D45" i="5"/>
  <c r="E45" i="5" s="1" a="1"/>
  <c r="E45" i="5" s="1"/>
  <c r="H45" i="5" l="1"/>
  <c r="J45" i="5" s="1"/>
  <c r="D46" i="5"/>
  <c r="E46" i="5" s="1" a="1"/>
  <c r="E46" i="5" s="1"/>
  <c r="F45" i="5"/>
  <c r="G45" i="5" s="1"/>
  <c r="K44" i="5"/>
  <c r="M44" i="5" s="1"/>
  <c r="N44" i="5" s="1"/>
  <c r="D47" i="5" l="1"/>
  <c r="E47" i="5" s="1" a="1"/>
  <c r="E47" i="5" s="1"/>
  <c r="F46" i="5"/>
  <c r="G46" i="5" s="1"/>
  <c r="H46" i="5"/>
  <c r="J46" i="5" s="1"/>
  <c r="K45" i="5"/>
  <c r="M45" i="5" s="1"/>
  <c r="N45" i="5" s="1"/>
  <c r="K46" i="5" l="1"/>
  <c r="M46" i="5" s="1"/>
  <c r="N46" i="5" s="1"/>
  <c r="D48" i="5"/>
  <c r="E48" i="5" s="1" a="1"/>
  <c r="E48" i="5" s="1"/>
  <c r="F47" i="5"/>
  <c r="G47" i="5" s="1"/>
  <c r="H47" i="5"/>
  <c r="J47" i="5" s="1"/>
  <c r="K47" i="5" l="1"/>
  <c r="M47" i="5" s="1"/>
  <c r="N47" i="5"/>
  <c r="H48" i="5"/>
  <c r="J48" i="5" s="1"/>
  <c r="F48" i="5"/>
  <c r="G48" i="5" s="1"/>
  <c r="D49" i="5"/>
  <c r="E49" i="5" s="1" a="1"/>
  <c r="E49" i="5" s="1"/>
  <c r="H49" i="5" l="1"/>
  <c r="J49" i="5" s="1"/>
  <c r="D50" i="5"/>
  <c r="E50" i="5" s="1" a="1"/>
  <c r="E50" i="5" s="1"/>
  <c r="F49" i="5"/>
  <c r="G49" i="5" s="1"/>
  <c r="K48" i="5"/>
  <c r="M48" i="5" s="1"/>
  <c r="N48" i="5" s="1"/>
  <c r="D51" i="5" l="1"/>
  <c r="E51" i="5" s="1" a="1"/>
  <c r="E51" i="5" s="1"/>
  <c r="F50" i="5"/>
  <c r="G50" i="5" s="1"/>
  <c r="H50" i="5"/>
  <c r="J50" i="5" s="1"/>
  <c r="K49" i="5"/>
  <c r="M49" i="5" s="1"/>
  <c r="N49" i="5" s="1"/>
  <c r="K50" i="5" l="1"/>
  <c r="M50" i="5" s="1"/>
  <c r="N50" i="5" s="1"/>
  <c r="D52" i="5"/>
  <c r="E52" i="5" s="1" a="1"/>
  <c r="E52" i="5" s="1"/>
  <c r="F51" i="5"/>
  <c r="G51" i="5" s="1"/>
  <c r="H51" i="5"/>
  <c r="J51" i="5" s="1"/>
  <c r="K51" i="5" s="1"/>
  <c r="M51" i="5" s="1"/>
  <c r="N51" i="5" l="1"/>
  <c r="H52" i="5"/>
  <c r="J52" i="5" s="1"/>
  <c r="G52" i="5"/>
  <c r="F52" i="5"/>
  <c r="D53" i="5"/>
  <c r="E53" i="5" s="1" a="1"/>
  <c r="E53" i="5" s="1"/>
  <c r="H53" i="5" l="1"/>
  <c r="J53" i="5" s="1"/>
  <c r="D54" i="5"/>
  <c r="E54" i="5" s="1" a="1"/>
  <c r="E54" i="5" s="1"/>
  <c r="F53" i="5"/>
  <c r="G53" i="5" s="1"/>
  <c r="K52" i="5"/>
  <c r="M52" i="5" s="1"/>
  <c r="N52" i="5" s="1"/>
  <c r="D55" i="5" l="1"/>
  <c r="E55" i="5" s="1" a="1"/>
  <c r="E55" i="5" s="1"/>
  <c r="F54" i="5"/>
  <c r="G54" i="5" s="1"/>
  <c r="H54" i="5"/>
  <c r="J54" i="5" s="1"/>
  <c r="K53" i="5"/>
  <c r="M53" i="5" s="1"/>
  <c r="N53" i="5" s="1"/>
  <c r="K54" i="5" l="1"/>
  <c r="M54" i="5" s="1"/>
  <c r="N54" i="5" s="1"/>
  <c r="D56" i="5"/>
  <c r="E56" i="5" s="1" a="1"/>
  <c r="E56" i="5" s="1"/>
  <c r="F55" i="5"/>
  <c r="G55" i="5" s="1"/>
  <c r="H55" i="5"/>
  <c r="J55" i="5" s="1"/>
  <c r="K55" i="5" s="1"/>
  <c r="M55" i="5" s="1"/>
  <c r="N55" i="5" l="1"/>
  <c r="H56" i="5"/>
  <c r="J56" i="5" s="1"/>
  <c r="F56" i="5"/>
  <c r="G56" i="5" s="1"/>
  <c r="D57" i="5"/>
  <c r="E57" i="5" s="1" a="1"/>
  <c r="E57" i="5" s="1"/>
  <c r="K56" i="5" l="1"/>
  <c r="M56" i="5" s="1"/>
  <c r="N56" i="5" s="1"/>
  <c r="H57" i="5"/>
  <c r="J57" i="5" s="1"/>
  <c r="G57" i="5"/>
  <c r="D58" i="5"/>
  <c r="E58" i="5" s="1" a="1"/>
  <c r="E58" i="5" s="1"/>
  <c r="F57" i="5"/>
  <c r="D59" i="5" l="1"/>
  <c r="E59" i="5" s="1" a="1"/>
  <c r="E59" i="5" s="1"/>
  <c r="F58" i="5"/>
  <c r="G58" i="5" s="1"/>
  <c r="H58" i="5"/>
  <c r="J58" i="5" s="1"/>
  <c r="K57" i="5"/>
  <c r="M57" i="5" s="1"/>
  <c r="N57" i="5" s="1"/>
  <c r="K58" i="5" l="1"/>
  <c r="M58" i="5" s="1"/>
  <c r="N58" i="5" s="1"/>
  <c r="D60" i="5"/>
  <c r="E60" i="5" s="1" a="1"/>
  <c r="E60" i="5" s="1"/>
  <c r="F59" i="5"/>
  <c r="G59" i="5" s="1"/>
  <c r="H59" i="5"/>
  <c r="J59" i="5" s="1"/>
  <c r="K59" i="5" s="1"/>
  <c r="M59" i="5" s="1"/>
  <c r="H60" i="5" l="1"/>
  <c r="J60" i="5" s="1"/>
  <c r="F60" i="5"/>
  <c r="G60" i="5" s="1"/>
  <c r="D61" i="5"/>
  <c r="E61" i="5" s="1" a="1"/>
  <c r="E61" i="5" s="1"/>
  <c r="N59" i="5"/>
  <c r="H61" i="5" l="1"/>
  <c r="J61" i="5" s="1"/>
  <c r="G61" i="5"/>
  <c r="D62" i="5"/>
  <c r="E62" i="5" s="1" a="1"/>
  <c r="E62" i="5" s="1"/>
  <c r="F61" i="5"/>
  <c r="K60" i="5"/>
  <c r="M60" i="5" s="1"/>
  <c r="N60" i="5" s="1"/>
  <c r="D63" i="5" l="1"/>
  <c r="F62" i="5"/>
  <c r="G62" i="5" s="1"/>
  <c r="H62" i="5"/>
  <c r="J62" i="5" s="1"/>
  <c r="K62" i="5" s="1"/>
  <c r="M62" i="5" s="1"/>
  <c r="K61" i="5"/>
  <c r="M61" i="5" s="1"/>
  <c r="N61" i="5" s="1"/>
  <c r="N62" i="5" s="1"/>
  <c r="F63" i="5" l="1"/>
  <c r="G63" i="5" s="1"/>
  <c r="H63" i="5"/>
  <c r="J63" i="5" s="1"/>
  <c r="K63" i="5" s="1"/>
  <c r="Q8" i="5" s="1"/>
  <c r="M63" i="5" l="1"/>
  <c r="N63" i="5" s="1"/>
  <c r="Q7" i="5" s="1"/>
  <c r="Q9" i="5" l="1"/>
  <c r="Q6" i="5" s="1"/>
  <c r="Q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<sst xmlns="http://schemas.openxmlformats.org/spreadsheetml/2006/main" count="145" uniqueCount="130">
  <si>
    <t>ASSUMPTIONS</t>
  </si>
  <si>
    <t>PARAMETER</t>
  </si>
  <si>
    <t>BASE VALUE</t>
  </si>
  <si>
    <t>Project life (years)</t>
  </si>
  <si>
    <t>Discount rate (real)</t>
  </si>
  <si>
    <t>Capital cost (€bn)</t>
  </si>
  <si>
    <t>Annual O&amp;M (€m)</t>
  </si>
  <si>
    <t>Ramp-up years</t>
  </si>
  <si>
    <t>Annual mature benefit (€m)</t>
  </si>
  <si>
    <t>Real growth rate</t>
  </si>
  <si>
    <t>Deadweight (%)</t>
  </si>
  <si>
    <t>Residual value (% of capital)</t>
  </si>
  <si>
    <t>S-CURVE (% per year)</t>
  </si>
  <si>
    <t>Year 0</t>
  </si>
  <si>
    <t>Year 1</t>
  </si>
  <si>
    <t>Year 2</t>
  </si>
  <si>
    <t>Year 3</t>
  </si>
  <si>
    <t>Year 4</t>
  </si>
  <si>
    <t>Year 5</t>
  </si>
  <si>
    <t>ANNUAL CALCULATION TABLE</t>
  </si>
  <si>
    <t>Year</t>
  </si>
  <si>
    <t>Capital Cost (€m)</t>
  </si>
  <si>
    <t>O&amp;M Cost (€m)</t>
  </si>
  <si>
    <t>Total Cost (€m)</t>
  </si>
  <si>
    <t>Gross Benefit (€m)</t>
  </si>
  <si>
    <t>Deadweight Factor</t>
  </si>
  <si>
    <t>Net Benefit (€m)</t>
  </si>
  <si>
    <t>Net Cashflow (€m)</t>
  </si>
  <si>
    <t>Discount Factor</t>
  </si>
  <si>
    <t>PV of Cashflow (€m)</t>
  </si>
  <si>
    <t>Cumulative PV (€m)</t>
  </si>
  <si>
    <t>Value</t>
  </si>
  <si>
    <t>PROJECT APPRAISAL SUMMARY</t>
  </si>
  <si>
    <t>Metric</t>
  </si>
  <si>
    <t>Unit</t>
  </si>
  <si>
    <t>NPV</t>
  </si>
  <si>
    <t>BCR</t>
  </si>
  <si>
    <t>Payback Year</t>
  </si>
  <si>
    <t>IRR</t>
  </si>
  <si>
    <t>PV Benefits</t>
  </si>
  <si>
    <t>PV Costs</t>
  </si>
  <si>
    <t>€ billion</t>
  </si>
  <si>
    <t>€ million</t>
  </si>
  <si>
    <t>Capital Cost</t>
  </si>
  <si>
    <t>ratio</t>
  </si>
  <si>
    <t>years</t>
  </si>
  <si>
    <t>%</t>
  </si>
  <si>
    <t>SENSITIVITY ANALYSIS</t>
  </si>
  <si>
    <t>Scenario</t>
  </si>
  <si>
    <t>NPV (€bn)</t>
  </si>
  <si>
    <t>Low Benefit (-30%)</t>
  </si>
  <si>
    <t>No Deadweight (0%)</t>
  </si>
  <si>
    <t>TORNADO DIAGRAM – BCR SENSITIVITY</t>
  </si>
  <si>
    <t>Variable</t>
  </si>
  <si>
    <t>Low BCR</t>
  </si>
  <si>
    <t>Base BCR</t>
  </si>
  <si>
    <t>High BCR</t>
  </si>
  <si>
    <t>Swing (Impact)</t>
  </si>
  <si>
    <t>Benefit Level</t>
  </si>
  <si>
    <t>Deadweight</t>
  </si>
  <si>
    <t>DATA SOURCES</t>
  </si>
  <si>
    <t>Parameter</t>
  </si>
  <si>
    <t>Source</t>
  </si>
  <si>
    <t>Project life</t>
  </si>
  <si>
    <t>60 years</t>
  </si>
  <si>
    <t>Rail industry standard</t>
  </si>
  <si>
    <t>Discount rate</t>
  </si>
  <si>
    <t>Irish Green Book (Public Spending Code)</t>
  </si>
  <si>
    <t>Capital cost</t>
  </si>
  <si>
    <t>Annual O&amp;M</t>
  </si>
  <si>
    <t>€80 million</t>
  </si>
  <si>
    <t>Industry benchmark / NTA estimates</t>
  </si>
  <si>
    <t>Annual mature benefit</t>
  </si>
  <si>
    <t>€300 million</t>
  </si>
  <si>
    <t>Benefit growth rate</t>
  </si>
  <si>
    <t>Irish GDP forecast (Dept of Finance)</t>
  </si>
  <si>
    <t>Residual value</t>
  </si>
  <si>
    <t>Industry standard for tunnels/structures</t>
  </si>
  <si>
    <t>S-curve</t>
  </si>
  <si>
    <t>5-15-30-30-15-5</t>
  </si>
  <si>
    <t>RISK REGISTER</t>
  </si>
  <si>
    <t>Risk</t>
  </si>
  <si>
    <t>Probability</t>
  </si>
  <si>
    <t>Impact</t>
  </si>
  <si>
    <t>Mitigation</t>
  </si>
  <si>
    <t>Cost overrun</t>
  </si>
  <si>
    <t>High (40%)</t>
  </si>
  <si>
    <t>High</t>
  </si>
  <si>
    <t>40% contingency, fixed-price contracts</t>
  </si>
  <si>
    <t>Patronage shortfall</t>
  </si>
  <si>
    <t>Medium (25%)</t>
  </si>
  <si>
    <t>Demand guarantees, phased opening</t>
  </si>
  <si>
    <t>Construction delay</t>
  </si>
  <si>
    <t>Medium (20%)</t>
  </si>
  <si>
    <t>Medium</t>
  </si>
  <si>
    <t>Penalty clauses, parallel works</t>
  </si>
  <si>
    <t>Interest rate increase</t>
  </si>
  <si>
    <t>Low (15%)</t>
  </si>
  <si>
    <t>Fixed-rate financing</t>
  </si>
  <si>
    <t>Planning/political delay</t>
  </si>
  <si>
    <t>Medium (30%)</t>
  </si>
  <si>
    <t>Early stakeholder engagement</t>
  </si>
  <si>
    <t>TORNADO INTERPRETATION:</t>
  </si>
  <si>
    <t>Core Model (transport benefits only)</t>
  </si>
  <si>
    <t>Official PBC (total benefits €13.7bn)</t>
  </si>
  <si>
    <t>Pessimistic</t>
  </si>
  <si>
    <t>OFFICIAL 2022 PRELIMINARY BUSINESS CASE (COVER NOTE)</t>
  </si>
  <si>
    <t>Official Value</t>
  </si>
  <si>
    <t>Central capital cost (P50 with inflation)</t>
  </si>
  <si>
    <t>€9.5 billion</t>
  </si>
  <si>
    <t>Box 4-5, p.4</t>
  </si>
  <si>
    <t>Cost range (P30 Low – P80 High)</t>
  </si>
  <si>
    <t>€7.16bn – €12.25bn</t>
  </si>
  <si>
    <t>PV Benefits (total, including WEBS)</t>
  </si>
  <si>
    <t>€13.7 billion</t>
  </si>
  <si>
    <t>Economic Appraisal Results, p.4</t>
  </si>
  <si>
    <t>PV Costs (economic costs)</t>
  </si>
  <si>
    <t>€9.9 billion</t>
  </si>
  <si>
    <t>BCR (revised)</t>
  </si>
  <si>
    <t>BCR range (sensitivities)</t>
  </si>
  <si>
    <t>1.1 – 2.0</t>
  </si>
  <si>
    <t>Opening year</t>
  </si>
  <si>
    <t>Table E-2, p.2</t>
  </si>
  <si>
    <r>
      <t xml:space="preserve">BCR Reconciliation: </t>
    </r>
    <r>
      <rPr>
        <sz val="11"/>
        <color theme="1"/>
        <rFont val="Calibri"/>
        <family val="2"/>
        <scheme val="minor"/>
      </rPr>
      <t>Under €9.5bn cost, core model (transport benefits only) yields BCR 0.70. Official 2022 PBC (including WEBS, environment, health) reports BCR 1.4 (range 1.1–2.0). Project viability depends on inclusion of wider benefits. Updated cost estimates pending Government decision (July 2026)</t>
    </r>
  </si>
  <si>
    <t>Under €9.5bn cost base, Benefit Level drives most uncertainty (swing 0.91). Core model (transport benefits only) yields BCR 0.70. Inclusion of wider benefits (official PBC) raises BCR to 1.40. Deadweight adjustment has moderate impact (swing 0.23). Pessimistic scenario (high cost + low benefit) yields BCR 0.35.</t>
  </si>
  <si>
    <t xml:space="preserve">€9.5 billion </t>
  </si>
  <si>
    <t>Official 2022 Preliminary Business Case (Cover Note, p.4)</t>
  </si>
  <si>
    <t>Assumption based on blended transport + wider benefits (€6bn–€13.7bn range)</t>
  </si>
  <si>
    <t>Standard industry practice for long-life rail assets (tunnels/stations).</t>
  </si>
  <si>
    <t>Standard industry conventionfor rail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</si>
</sst>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0">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sz val="10"/>
      <color theme="1"/>
      <name val="Arial Unicode MS"/>
    </font>
    <font>
      <b/>
      <sz val="12"/>
      <color theme="1"/>
      <name val="Calibri"/>
      <family val="2"/>
      <scheme val="minor"/>
    </font>
    <font>
      <b/>
      <sz val="10"/>
      <color theme="1"/>
      <name val="Arial Unicode MS"/>
    </font>
    <font>
      <b/>
      <sz val="14"/>
      <color theme="1"/>
      <name val="Calibri"/>
      <family val="2"/>
      <scheme val="minor"/>
    </font>
    <font>
      <sz val="14"/>
      <color theme="1"/>
      <name val="Calibri"/>
      <family val="2"/>
      <scheme val="minor"/>
    </font>
    <font>
      <sz val="10"/>
      <color theme="1"/>
      <name val="Calibri"/>
      <family val="2"/>
      <scheme val="minor"/>
    </font>
  </fonts>
  <fills count="19">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4"/>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bgColor indexed="64"/>
      </patternFill>
    </fill>
    <fill>
      <patternFill patternType="solid">
        <fgColor theme="7"/>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59999389629810485"/>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78">
    <xf numFmtId="0" fontId="0" fillId="0" borderId="0" xfId="0"/>
    <xf numFmtId="0" fontId="0" fillId="0" borderId="0" xfId="0" applyAlignment="1">
      <alignment vertical="center"/>
    </xf>
    <xf numFmtId="0" fontId="3" fillId="0" borderId="0" xfId="0" applyFont="1" applyAlignment="1">
      <alignment vertical="center"/>
    </xf>
    <xf numFmtId="0" fontId="0" fillId="0" borderId="0" xfId="0" applyAlignment="1">
      <alignment vertical="center" wrapText="1"/>
    </xf>
    <xf numFmtId="0" fontId="2" fillId="0" borderId="0" xfId="0" applyFont="1"/>
    <xf numFmtId="0" fontId="2" fillId="0" borderId="1" xfId="0" applyFont="1" applyBorder="1"/>
    <xf numFmtId="0" fontId="2" fillId="0" borderId="1" xfId="0" applyFont="1" applyBorder="1" applyAlignment="1">
      <alignment vertical="center" wrapText="1"/>
    </xf>
    <xf numFmtId="0" fontId="0" fillId="0" borderId="1" xfId="0" applyBorder="1" applyAlignment="1">
      <alignment vertical="center" wrapText="1"/>
    </xf>
    <xf numFmtId="0" fontId="2" fillId="2" borderId="1" xfId="0" applyFont="1" applyFill="1" applyBorder="1" applyAlignment="1">
      <alignment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0" borderId="0" xfId="0" applyFont="1"/>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 fontId="0" fillId="0" borderId="1" xfId="0" applyNumberFormat="1" applyBorder="1"/>
    <xf numFmtId="0" fontId="0" fillId="0" borderId="1" xfId="0" applyBorder="1"/>
    <xf numFmtId="164" fontId="0" fillId="0" borderId="1" xfId="0" applyNumberFormat="1" applyBorder="1" applyAlignment="1">
      <alignment vertical="center" wrapText="1"/>
    </xf>
    <xf numFmtId="2" fontId="0" fillId="0" borderId="1" xfId="0" applyNumberFormat="1" applyBorder="1"/>
    <xf numFmtId="3" fontId="0" fillId="0" borderId="1" xfId="0" applyNumberFormat="1" applyBorder="1"/>
    <xf numFmtId="0" fontId="5" fillId="8" borderId="1" xfId="0" applyFont="1" applyFill="1" applyBorder="1"/>
    <xf numFmtId="0" fontId="0" fillId="0" borderId="1" xfId="0" applyBorder="1" applyAlignment="1">
      <alignment horizontal="center"/>
    </xf>
    <xf numFmtId="0" fontId="5" fillId="8" borderId="1" xfId="0" applyFont="1" applyFill="1" applyBorder="1" applyAlignment="1">
      <alignment horizontal="center"/>
    </xf>
    <xf numFmtId="1" fontId="0" fillId="0" borderId="1" xfId="0" applyNumberFormat="1" applyBorder="1" applyAlignment="1">
      <alignment vertical="center"/>
    </xf>
    <xf numFmtId="9" fontId="4" fillId="0" borderId="1" xfId="0" applyNumberFormat="1" applyFont="1" applyBorder="1" applyAlignment="1">
      <alignment horizontal="center"/>
    </xf>
    <xf numFmtId="0" fontId="2" fillId="0" borderId="1" xfId="0" applyFont="1" applyBorder="1" applyAlignment="1">
      <alignment vertical="center"/>
    </xf>
    <xf numFmtId="0" fontId="0" fillId="0" borderId="1" xfId="0" applyBorder="1" applyAlignment="1">
      <alignment vertical="center"/>
    </xf>
    <xf numFmtId="0" fontId="2" fillId="9" borderId="1" xfId="0" applyFont="1" applyFill="1" applyBorder="1"/>
    <xf numFmtId="0" fontId="2" fillId="9" borderId="1" xfId="0" applyFont="1" applyFill="1" applyBorder="1" applyAlignment="1">
      <alignment horizontal="center" vertical="center"/>
    </xf>
    <xf numFmtId="0" fontId="2" fillId="12" borderId="1" xfId="0" applyFont="1" applyFill="1" applyBorder="1"/>
    <xf numFmtId="0" fontId="9" fillId="0" borderId="1" xfId="0" applyFont="1" applyBorder="1" applyAlignment="1">
      <alignment vertical="center" wrapText="1"/>
    </xf>
    <xf numFmtId="0" fontId="2" fillId="14" borderId="1" xfId="0" applyFont="1" applyFill="1" applyBorder="1"/>
    <xf numFmtId="0" fontId="2" fillId="0" borderId="0" xfId="0" applyFont="1" applyAlignment="1">
      <alignment horizontal="left" vertical="center" wrapText="1"/>
    </xf>
    <xf numFmtId="1" fontId="2" fillId="0" borderId="1" xfId="0" applyNumberFormat="1" applyFont="1" applyBorder="1"/>
    <xf numFmtId="2" fontId="2" fillId="0" borderId="1" xfId="0" applyNumberFormat="1" applyFont="1" applyBorder="1"/>
    <xf numFmtId="164" fontId="2" fillId="0" borderId="1" xfId="0" applyNumberFormat="1" applyFont="1" applyBorder="1" applyAlignment="1">
      <alignment vertical="center" wrapText="1"/>
    </xf>
    <xf numFmtId="3" fontId="2" fillId="0" borderId="1" xfId="0" applyNumberFormat="1" applyFont="1" applyBorder="1"/>
    <xf numFmtId="0" fontId="9" fillId="0" borderId="1" xfId="0" applyFont="1" applyBorder="1" applyAlignment="1">
      <alignment horizontal="center" vertical="center" wrapText="1"/>
    </xf>
    <xf numFmtId="9" fontId="9" fillId="0" borderId="1" xfId="0" applyNumberFormat="1" applyFont="1" applyBorder="1" applyAlignment="1">
      <alignment horizontal="center" vertical="center" wrapText="1"/>
    </xf>
    <xf numFmtId="165" fontId="9" fillId="0" borderId="1" xfId="0" applyNumberFormat="1" applyFont="1" applyBorder="1" applyAlignment="1">
      <alignment horizontal="center"/>
    </xf>
    <xf numFmtId="2" fontId="9" fillId="0" borderId="1" xfId="0" quotePrefix="1" applyNumberFormat="1" applyFont="1" applyBorder="1" applyAlignment="1">
      <alignment horizontal="center"/>
    </xf>
    <xf numFmtId="3" fontId="0" fillId="0" borderId="1" xfId="0" applyNumberFormat="1" applyBorder="1" applyAlignment="1">
      <alignment horizontal="center" vertical="center" wrapText="1"/>
    </xf>
    <xf numFmtId="3" fontId="2" fillId="0" borderId="0" xfId="0" applyNumberFormat="1" applyFont="1"/>
    <xf numFmtId="3" fontId="0" fillId="0" borderId="1" xfId="0" applyNumberFormat="1" applyBorder="1" applyAlignment="1">
      <alignment horizontal="center"/>
    </xf>
    <xf numFmtId="0" fontId="2" fillId="8" borderId="1" xfId="0" applyFont="1" applyFill="1" applyBorder="1" applyAlignment="1">
      <alignment horizontal="left"/>
    </xf>
    <xf numFmtId="0" fontId="0" fillId="0" borderId="1" xfId="0" applyBorder="1" applyAlignment="1">
      <alignment horizontal="left" vertical="center" wrapText="1"/>
    </xf>
    <xf numFmtId="0" fontId="2" fillId="0" borderId="1" xfId="0" applyFont="1" applyBorder="1" applyAlignment="1">
      <alignment horizontal="left"/>
    </xf>
    <xf numFmtId="0" fontId="0" fillId="0" borderId="1" xfId="0" applyBorder="1" applyAlignment="1">
      <alignment horizontal="left"/>
    </xf>
    <xf numFmtId="2" fontId="0" fillId="0" borderId="0" xfId="0" applyNumberFormat="1" applyAlignment="1">
      <alignment vertical="center" wrapText="1"/>
    </xf>
    <xf numFmtId="2" fontId="0" fillId="0" borderId="0" xfId="0" applyNumberFormat="1" applyAlignment="1">
      <alignment horizontal="left" vertical="center" wrapText="1"/>
    </xf>
    <xf numFmtId="0" fontId="6" fillId="17" borderId="0" xfId="0" applyFont="1" applyFill="1"/>
    <xf numFmtId="0" fontId="2" fillId="17" borderId="0" xfId="0" applyFont="1" applyFill="1"/>
    <xf numFmtId="0" fontId="0" fillId="17" borderId="0" xfId="0" applyFill="1"/>
    <xf numFmtId="0" fontId="0" fillId="17" borderId="0" xfId="0" applyFill="1" applyAlignment="1">
      <alignment vertical="center" wrapText="1"/>
    </xf>
    <xf numFmtId="2" fontId="0" fillId="0" borderId="1" xfId="0" applyNumberFormat="1" applyBorder="1" applyAlignment="1">
      <alignment vertical="center"/>
    </xf>
    <xf numFmtId="3" fontId="0" fillId="0" borderId="1" xfId="0" applyNumberFormat="1" applyBorder="1" applyAlignment="1">
      <alignment vertical="center"/>
    </xf>
    <xf numFmtId="0" fontId="0" fillId="18" borderId="0" xfId="0" applyFill="1" applyAlignment="1">
      <alignment horizontal="left" vertical="top" wrapText="1"/>
    </xf>
    <xf numFmtId="0" fontId="0" fillId="18" borderId="7" xfId="0" applyFill="1" applyBorder="1" applyAlignment="1">
      <alignment horizontal="left" vertical="top" wrapText="1"/>
    </xf>
    <xf numFmtId="0" fontId="4" fillId="17" borderId="0" xfId="0" applyFont="1" applyFill="1" applyAlignment="1">
      <alignment vertical="center" wrapText="1"/>
    </xf>
    <xf numFmtId="0" fontId="2" fillId="10" borderId="4" xfId="0" applyFont="1" applyFill="1" applyBorder="1" applyAlignment="1">
      <alignment horizontal="center"/>
    </xf>
    <xf numFmtId="0" fontId="2" fillId="10" borderId="5" xfId="0" applyFont="1" applyFill="1" applyBorder="1" applyAlignment="1">
      <alignment horizontal="center"/>
    </xf>
    <xf numFmtId="0" fontId="2" fillId="10" borderId="6" xfId="0" applyFont="1" applyFill="1" applyBorder="1" applyAlignment="1">
      <alignment horizontal="center"/>
    </xf>
    <xf numFmtId="0" fontId="3" fillId="13" borderId="2" xfId="0" applyFont="1" applyFill="1" applyBorder="1" applyAlignment="1">
      <alignment horizontal="center" vertical="center"/>
    </xf>
    <xf numFmtId="0" fontId="1" fillId="15" borderId="4" xfId="0" applyFont="1" applyFill="1" applyBorder="1" applyAlignment="1">
      <alignment vertical="center" wrapText="1"/>
    </xf>
    <xf numFmtId="0" fontId="1" fillId="15" borderId="5" xfId="0" applyFont="1" applyFill="1" applyBorder="1" applyAlignment="1">
      <alignment vertical="center" wrapText="1"/>
    </xf>
    <xf numFmtId="0" fontId="1" fillId="15" borderId="6" xfId="0" applyFont="1" applyFill="1" applyBorder="1" applyAlignment="1">
      <alignment vertical="center" wrapText="1"/>
    </xf>
    <xf numFmtId="0" fontId="7" fillId="3" borderId="2" xfId="0" applyFont="1" applyFill="1" applyBorder="1" applyAlignment="1">
      <alignment horizontal="center"/>
    </xf>
    <xf numFmtId="0" fontId="8" fillId="3" borderId="2" xfId="0" applyFont="1" applyFill="1" applyBorder="1" applyAlignment="1">
      <alignment horizontal="center"/>
    </xf>
    <xf numFmtId="0" fontId="7" fillId="5" borderId="1" xfId="0" applyFont="1" applyFill="1" applyBorder="1" applyAlignment="1">
      <alignment horizontal="center"/>
    </xf>
    <xf numFmtId="0" fontId="8" fillId="5" borderId="1" xfId="0" applyFont="1" applyFill="1" applyBorder="1" applyAlignment="1">
      <alignment horizontal="center"/>
    </xf>
    <xf numFmtId="0" fontId="2"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0" fillId="6" borderId="1" xfId="0" applyFill="1" applyBorder="1" applyAlignment="1">
      <alignment horizontal="center" vertical="center"/>
    </xf>
    <xf numFmtId="0" fontId="7" fillId="11" borderId="3" xfId="0" applyFont="1" applyFill="1" applyBorder="1" applyAlignment="1">
      <alignment horizontal="center" vertical="center"/>
    </xf>
    <xf numFmtId="0" fontId="7" fillId="11" borderId="2" xfId="0" applyFont="1" applyFill="1" applyBorder="1" applyAlignment="1">
      <alignment horizontal="center" vertical="center"/>
    </xf>
    <xf numFmtId="0" fontId="2" fillId="16" borderId="0" xfId="0" applyFont="1" applyFill="1" applyAlignment="1">
      <alignment horizontal="left" vertical="center" wrapText="1"/>
    </xf>
  </cellXfs>
  <cellStyles count="1">
    <cellStyle name="Normal" xfId="0" builtinId="0"/>
  </cellStyles>
  <dxfs count="2">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Cumulative Present Value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MetroLink_CBA!$D$2</c:f>
              <c:strCache>
                <c:ptCount val="1"/>
                <c:pt idx="0">
                  <c:v>Year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yVal>
            <c:numRef>
              <c:f>MetroLink_CBA!$D$3:$D$63</c:f>
              <c:numCache>
                <c:formatCode>0</c:formatCode>
                <c:ptCount val="6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numCache>
            </c:numRef>
          </c:yVal>
          <c:smooth val="1"/>
          <c:extLst>
            <c:ext xmlns:c16="http://schemas.microsoft.com/office/drawing/2014/chart" uri="{C3380CC4-5D6E-409C-BE32-E72D297353CC}">
              <c16:uniqueId val="{00000000-FDEE-49A9-882B-0B1FF1A9AB7E}"/>
            </c:ext>
          </c:extLst>
        </c:ser>
        <c:ser>
          <c:idx val="1"/>
          <c:order val="1"/>
          <c:tx>
            <c:strRef>
              <c:f>MetroLink_CBA!$N$2</c:f>
              <c:strCache>
                <c:ptCount val="1"/>
                <c:pt idx="0">
                  <c:v>Cumulative PV (€m)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yVal>
            <c:numRef>
              <c:f>MetroLink_CBA!$N$3:$N$63</c:f>
              <c:numCache>
                <c:formatCode>#,##0</c:formatCode>
                <c:ptCount val="61"/>
                <c:pt idx="0">
                  <c:v>-475</c:v>
                </c:pt>
                <c:pt idx="1">
                  <c:v>-1845.1375</c:v>
                </c:pt>
                <c:pt idx="2">
                  <c:v>-4480.2475000000004</c:v>
                </c:pt>
                <c:pt idx="3">
                  <c:v>-7013.8975000000009</c:v>
                </c:pt>
                <c:pt idx="4">
                  <c:v>-8231.9875000000011</c:v>
                </c:pt>
                <c:pt idx="5">
                  <c:v>-8622.3900000000012</c:v>
                </c:pt>
                <c:pt idx="6">
                  <c:v>-8530.7152000000006</c:v>
                </c:pt>
                <c:pt idx="7">
                  <c:v>-8405.3317000000006</c:v>
                </c:pt>
                <c:pt idx="8">
                  <c:v>-8248.9619000000002</c:v>
                </c:pt>
                <c:pt idx="9">
                  <c:v>-8094.4742120000001</c:v>
                </c:pt>
                <c:pt idx="10">
                  <c:v>-7941.8713054400005</c:v>
                </c:pt>
                <c:pt idx="11">
                  <c:v>-7791.1672547008002</c:v>
                </c:pt>
                <c:pt idx="12">
                  <c:v>-7642.3656393228166</c:v>
                </c:pt>
                <c:pt idx="13">
                  <c:v>-7495.4590257846521</c:v>
                </c:pt>
                <c:pt idx="14">
                  <c:v>-7350.4535394299137</c:v>
                </c:pt>
                <c:pt idx="15">
                  <c:v>-7207.345184963694</c:v>
                </c:pt>
                <c:pt idx="16">
                  <c:v>-7066.1457955696642</c:v>
                </c:pt>
                <c:pt idx="17">
                  <c:v>-6926.8310012988404</c:v>
                </c:pt>
                <c:pt idx="18">
                  <c:v>-6789.4204814602735</c:v>
                </c:pt>
                <c:pt idx="19">
                  <c:v>-6653.8974801116274</c:v>
                </c:pt>
                <c:pt idx="20">
                  <c:v>-6520.2347669303535</c:v>
                </c:pt>
                <c:pt idx="21">
                  <c:v>-6388.4541976340743</c:v>
                </c:pt>
                <c:pt idx="22">
                  <c:v>-6258.5398991340235</c:v>
                </c:pt>
                <c:pt idx="23">
                  <c:v>-6130.4979449148886</c:v>
                </c:pt>
                <c:pt idx="24">
                  <c:v>-6004.2619760694697</c:v>
                </c:pt>
                <c:pt idx="25">
                  <c:v>-5879.8521925057803</c:v>
                </c:pt>
                <c:pt idx="26">
                  <c:v>-5757.2486765845561</c:v>
                </c:pt>
                <c:pt idx="27">
                  <c:v>-5636.4573748825596</c:v>
                </c:pt>
                <c:pt idx="28">
                  <c:v>-5517.4417186542778</c:v>
                </c:pt>
                <c:pt idx="29">
                  <c:v>-5400.1919048867876</c:v>
                </c:pt>
                <c:pt idx="30">
                  <c:v>-5284.7279983317276</c:v>
                </c:pt>
                <c:pt idx="31">
                  <c:v>-5170.9881125728989</c:v>
                </c:pt>
                <c:pt idx="32">
                  <c:v>-5058.9778673842357</c:v>
                </c:pt>
                <c:pt idx="33">
                  <c:v>-4948.6969770778978</c:v>
                </c:pt>
                <c:pt idx="34">
                  <c:v>-4840.0977506844438</c:v>
                </c:pt>
                <c:pt idx="35">
                  <c:v>-4733.1652084668585</c:v>
                </c:pt>
                <c:pt idx="36">
                  <c:v>-4627.877468236089</c:v>
                </c:pt>
                <c:pt idx="37">
                  <c:v>-4524.24961758681</c:v>
                </c:pt>
                <c:pt idx="38">
                  <c:v>-4422.2017786455099</c:v>
                </c:pt>
                <c:pt idx="39">
                  <c:v>-4321.7819455983999</c:v>
                </c:pt>
                <c:pt idx="40">
                  <c:v>-4222.941491843193</c:v>
                </c:pt>
                <c:pt idx="41">
                  <c:v>-4125.6717172749559</c:v>
                </c:pt>
                <c:pt idx="42">
                  <c:v>-4029.9583256166457</c:v>
                </c:pt>
                <c:pt idx="43">
                  <c:v>-3935.7811458359415</c:v>
                </c:pt>
                <c:pt idx="44">
                  <c:v>-3843.1138433008955</c:v>
                </c:pt>
                <c:pt idx="45">
                  <c:v>-3751.923620348256</c:v>
                </c:pt>
                <c:pt idx="46">
                  <c:v>-3662.2253015133406</c:v>
                </c:pt>
                <c:pt idx="47">
                  <c:v>-3573.974716561479</c:v>
                </c:pt>
                <c:pt idx="48">
                  <c:v>-3487.1772582433073</c:v>
                </c:pt>
                <c:pt idx="49">
                  <c:v>-3401.7763029778557</c:v>
                </c:pt>
                <c:pt idx="50">
                  <c:v>-3317.7667918959587</c:v>
                </c:pt>
                <c:pt idx="51">
                  <c:v>-3235.1393780129702</c:v>
                </c:pt>
                <c:pt idx="52">
                  <c:v>-3153.8802090965028</c:v>
                </c:pt>
                <c:pt idx="53">
                  <c:v>-3073.9707024834993</c:v>
                </c:pt>
                <c:pt idx="54">
                  <c:v>-2995.3873115898473</c:v>
                </c:pt>
                <c:pt idx="55">
                  <c:v>-2918.1012838482725</c:v>
                </c:pt>
                <c:pt idx="56">
                  <c:v>-2842.0784098025483</c:v>
                </c:pt>
                <c:pt idx="57">
                  <c:v>-2767.3483441448852</c:v>
                </c:pt>
                <c:pt idx="58">
                  <c:v>-2693.8682773843138</c:v>
                </c:pt>
                <c:pt idx="59">
                  <c:v>-2621.5892276193499</c:v>
                </c:pt>
                <c:pt idx="60">
                  <c:v>-2550.5300835078692</c:v>
                </c:pt>
              </c:numCache>
            </c:numRef>
          </c:yVal>
          <c:smooth val="1"/>
          <c:extLst>
            <c:ext xmlns:c16="http://schemas.microsoft.com/office/drawing/2014/chart" uri="{C3380CC4-5D6E-409C-BE32-E72D297353CC}">
              <c16:uniqueId val="{00000001-FDEE-49A9-882B-0B1FF1A9AB7E}"/>
            </c:ext>
          </c:extLst>
        </c:ser>
        <c:dLbls>
          <c:showLegendKey val="0"/>
          <c:showVal val="0"/>
          <c:showCatName val="0"/>
          <c:showSerName val="0"/>
          <c:showPercent val="0"/>
          <c:showBubbleSize val="0"/>
        </c:dLbls>
        <c:axId val="54577743"/>
        <c:axId val="54582543"/>
      </c:scatterChart>
      <c:valAx>
        <c:axId val="54577743"/>
        <c:scaling>
          <c:orientation val="minMax"/>
          <c:max val="60"/>
        </c:scaling>
        <c:delete val="0"/>
        <c:axPos val="b"/>
        <c:numFmt formatCode="#,##0"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2543"/>
        <c:crosses val="autoZero"/>
        <c:crossBetween val="midCat"/>
        <c:majorUnit val="10"/>
        <c:minorUnit val="10"/>
      </c:valAx>
      <c:valAx>
        <c:axId val="54582543"/>
        <c:scaling>
          <c:orientation val="minMax"/>
          <c:max val="1000"/>
          <c:min val="-9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77743"/>
        <c:crossesAt val="0"/>
        <c:crossBetween val="midCat"/>
        <c:maj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Tornado Diagram: BCR Sensitivity</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MetroLink_CBA!$Q$17</c:f>
              <c:strCache>
                <c:ptCount val="1"/>
                <c:pt idx="0">
                  <c:v>Low BCR</c:v>
                </c:pt>
              </c:strCache>
            </c:strRef>
          </c:tx>
          <c:spPr>
            <a:solidFill>
              <a:schemeClr val="accent4"/>
            </a:solidFill>
            <a:ln>
              <a:noFill/>
            </a:ln>
            <a:effectLst/>
          </c:spPr>
          <c:invertIfNegative val="0"/>
          <c:cat>
            <c:strRef>
              <c:f>MetroLink_CBA!$P$18:$P$20</c:f>
              <c:strCache>
                <c:ptCount val="3"/>
                <c:pt idx="0">
                  <c:v>Benefit Level</c:v>
                </c:pt>
                <c:pt idx="1">
                  <c:v>Deadweight</c:v>
                </c:pt>
                <c:pt idx="2">
                  <c:v>Pessimistic</c:v>
                </c:pt>
              </c:strCache>
            </c:strRef>
          </c:cat>
          <c:val>
            <c:numRef>
              <c:f>MetroLink_CBA!$Q$18:$Q$20</c:f>
              <c:numCache>
                <c:formatCode>General</c:formatCode>
                <c:ptCount val="3"/>
                <c:pt idx="0">
                  <c:v>0.49</c:v>
                </c:pt>
                <c:pt idx="1">
                  <c:v>0.7</c:v>
                </c:pt>
                <c:pt idx="2">
                  <c:v>0.35</c:v>
                </c:pt>
              </c:numCache>
            </c:numRef>
          </c:val>
          <c:extLst>
            <c:ext xmlns:c16="http://schemas.microsoft.com/office/drawing/2014/chart" uri="{C3380CC4-5D6E-409C-BE32-E72D297353CC}">
              <c16:uniqueId val="{00000000-DCFB-4F4E-8B9A-34635B8E7FA2}"/>
            </c:ext>
          </c:extLst>
        </c:ser>
        <c:ser>
          <c:idx val="2"/>
          <c:order val="1"/>
          <c:tx>
            <c:strRef>
              <c:f>MetroLink_CBA!$S$17</c:f>
              <c:strCache>
                <c:ptCount val="1"/>
                <c:pt idx="0">
                  <c:v>High BCR</c:v>
                </c:pt>
              </c:strCache>
            </c:strRef>
          </c:tx>
          <c:spPr>
            <a:solidFill>
              <a:srgbClr val="002060"/>
            </a:solidFill>
            <a:ln>
              <a:noFill/>
            </a:ln>
            <a:effectLst/>
          </c:spPr>
          <c:invertIfNegative val="0"/>
          <c:cat>
            <c:strRef>
              <c:f>MetroLink_CBA!$P$18:$P$20</c:f>
              <c:strCache>
                <c:ptCount val="3"/>
                <c:pt idx="0">
                  <c:v>Benefit Level</c:v>
                </c:pt>
                <c:pt idx="1">
                  <c:v>Deadweight</c:v>
                </c:pt>
                <c:pt idx="2">
                  <c:v>Pessimistic</c:v>
                </c:pt>
              </c:strCache>
            </c:strRef>
          </c:cat>
          <c:val>
            <c:numRef>
              <c:f>MetroLink_CBA!$S$18:$S$20</c:f>
              <c:numCache>
                <c:formatCode>General</c:formatCode>
                <c:ptCount val="3"/>
                <c:pt idx="0">
                  <c:v>1.4</c:v>
                </c:pt>
                <c:pt idx="1">
                  <c:v>0.93</c:v>
                </c:pt>
                <c:pt idx="2">
                  <c:v>0.7</c:v>
                </c:pt>
              </c:numCache>
            </c:numRef>
          </c:val>
          <c:extLst>
            <c:ext xmlns:c16="http://schemas.microsoft.com/office/drawing/2014/chart" uri="{C3380CC4-5D6E-409C-BE32-E72D297353CC}">
              <c16:uniqueId val="{00000002-DCFB-4F4E-8B9A-34635B8E7FA2}"/>
            </c:ext>
          </c:extLst>
        </c:ser>
        <c:dLbls>
          <c:showLegendKey val="0"/>
          <c:showVal val="0"/>
          <c:showCatName val="0"/>
          <c:showSerName val="0"/>
          <c:showPercent val="0"/>
          <c:showBubbleSize val="0"/>
        </c:dLbls>
        <c:gapWidth val="40"/>
        <c:axId val="1941500095"/>
        <c:axId val="1941499135"/>
      </c:barChart>
      <c:catAx>
        <c:axId val="194150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41499135"/>
        <c:crosses val="autoZero"/>
        <c:auto val="1"/>
        <c:lblAlgn val="ctr"/>
        <c:lblOffset val="100"/>
        <c:noMultiLvlLbl val="0"/>
      </c:catAx>
      <c:valAx>
        <c:axId val="1941499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00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15875</xdr:colOff>
      <xdr:row>44</xdr:row>
      <xdr:rowOff>174626</xdr:rowOff>
    </xdr:from>
    <xdr:to>
      <xdr:col>19</xdr:col>
      <xdr:colOff>2159000</xdr:colOff>
      <xdr:row>63</xdr:row>
      <xdr:rowOff>10584</xdr:rowOff>
    </xdr:to>
    <xdr:graphicFrame macro="">
      <xdr:nvGraphicFramePr>
        <xdr:cNvPr id="3" name="Chart 2">
          <a:extLst>
            <a:ext uri="{FF2B5EF4-FFF2-40B4-BE49-F238E27FC236}">
              <a16:creationId xmlns:a16="http://schemas.microsoft.com/office/drawing/2014/main" id="{F00BBF27-C173-4D43-B23C-85FBC7FA3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291040</xdr:colOff>
      <xdr:row>22</xdr:row>
      <xdr:rowOff>4233</xdr:rowOff>
    </xdr:from>
    <xdr:to>
      <xdr:col>20</xdr:col>
      <xdr:colOff>0</xdr:colOff>
      <xdr:row>34</xdr:row>
      <xdr:rowOff>42333</xdr:rowOff>
    </xdr:to>
    <xdr:graphicFrame macro="">
      <xdr:nvGraphicFramePr>
        <xdr:cNvPr id="6" name="Chart 5">
          <a:extLst>
            <a:ext uri="{FF2B5EF4-FFF2-40B4-BE49-F238E27FC236}">
              <a16:creationId xmlns:a16="http://schemas.microsoft.com/office/drawing/2014/main" id="{370D5781-CE6C-762E-E17A-E26E5D3A9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0.38264</cdr:x>
      <cdr:y>0.36806</cdr:y>
    </cdr:from>
    <cdr:to>
      <cdr:x>0.64375</cdr:x>
      <cdr:y>0.46991</cdr:y>
    </cdr:to>
    <cdr:sp macro="" textlink="">
      <cdr:nvSpPr>
        <cdr:cNvPr id="2" name="TextBox 1">
          <a:extLst xmlns:a="http://schemas.openxmlformats.org/drawingml/2006/main">
            <a:ext uri="{FF2B5EF4-FFF2-40B4-BE49-F238E27FC236}">
              <a16:creationId xmlns:a16="http://schemas.microsoft.com/office/drawing/2014/main" id="{28D36B8D-8DEC-0CB1-2E81-3AE51C332304}"/>
            </a:ext>
          </a:extLst>
        </cdr:cNvPr>
        <cdr:cNvSpPr txBox="1"/>
      </cdr:nvSpPr>
      <cdr:spPr>
        <a:xfrm xmlns:a="http://schemas.openxmlformats.org/drawingml/2006/main">
          <a:off x="1749425" y="1009650"/>
          <a:ext cx="1193800" cy="279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05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0.65776</cdr:x>
      <cdr:y>0.10978</cdr:y>
    </cdr:from>
    <cdr:to>
      <cdr:x>0.65996</cdr:x>
      <cdr:y>0.88147</cdr:y>
    </cdr:to>
    <cdr:cxnSp macro="">
      <cdr:nvCxnSpPr>
        <cdr:cNvPr id="2" name="Straight Connector 1">
          <a:extLst xmlns:a="http://schemas.openxmlformats.org/drawingml/2006/main">
            <a:ext uri="{FF2B5EF4-FFF2-40B4-BE49-F238E27FC236}">
              <a16:creationId xmlns:a16="http://schemas.microsoft.com/office/drawing/2014/main" id="{A793B5DA-A663-9D6D-E6B2-4D7262CE7F96}"/>
            </a:ext>
          </a:extLst>
        </cdr:cNvPr>
        <cdr:cNvCxnSpPr/>
      </cdr:nvCxnSpPr>
      <cdr:spPr>
        <a:xfrm xmlns:a="http://schemas.openxmlformats.org/drawingml/2006/main">
          <a:off x="3518959" y="408517"/>
          <a:ext cx="11745" cy="2871513"/>
        </a:xfrm>
        <a:prstGeom xmlns:a="http://schemas.openxmlformats.org/drawingml/2006/main" prst="line">
          <a:avLst/>
        </a:prstGeom>
        <a:ln xmlns:a="http://schemas.openxmlformats.org/drawingml/2006/main" w="9525" cap="flat" cmpd="sng" algn="ctr">
          <a:solidFill>
            <a:schemeClr val="accent5"/>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07A79-8B90-42EF-A70E-7BB3C2197AF7}">
  <dimension ref="A1:AC71"/>
  <sheetViews>
    <sheetView tabSelected="1" zoomScale="60" zoomScaleNormal="60" workbookViewId="0">
      <selection activeCell="Q78" sqref="Q78"/>
    </sheetView>
  </sheetViews>
  <sheetFormatPr defaultRowHeight="14.5"/>
  <cols>
    <col min="1" max="1" width="16.7265625" customWidth="1"/>
    <col min="2" max="2" width="11.90625" customWidth="1"/>
    <col min="3" max="3" width="16.36328125" customWidth="1"/>
    <col min="4" max="4" width="11.453125" customWidth="1"/>
    <col min="5" max="5" width="10.6328125" bestFit="1" customWidth="1"/>
    <col min="6" max="6" width="10.54296875" customWidth="1"/>
    <col min="7" max="7" width="16.453125" customWidth="1"/>
    <col min="8" max="8" width="11.90625" bestFit="1" customWidth="1"/>
    <col min="9" max="9" width="10.7265625" bestFit="1" customWidth="1"/>
    <col min="10" max="10" width="10.08984375" bestFit="1" customWidth="1"/>
    <col min="11" max="11" width="11.81640625" bestFit="1" customWidth="1"/>
    <col min="12" max="12" width="8.08984375" bestFit="1" customWidth="1"/>
    <col min="13" max="13" width="13.26953125" bestFit="1" customWidth="1"/>
    <col min="14" max="14" width="12.7265625" bestFit="1" customWidth="1"/>
    <col min="15" max="15" width="4.81640625" customWidth="1"/>
    <col min="16" max="16" width="14.36328125" customWidth="1"/>
    <col min="17" max="17" width="11.36328125" bestFit="1" customWidth="1"/>
    <col min="20" max="20" width="31.36328125" bestFit="1" customWidth="1"/>
    <col min="21" max="21" width="10.36328125" customWidth="1"/>
    <col min="22" max="22" width="12" customWidth="1"/>
    <col min="23" max="23" width="18.54296875" customWidth="1"/>
    <col min="24" max="24" width="33" customWidth="1"/>
    <col min="25" max="25" width="19.6328125" customWidth="1"/>
    <col min="26" max="26" width="46.26953125" customWidth="1"/>
  </cols>
  <sheetData>
    <row r="1" spans="1:29" ht="18.5">
      <c r="A1" s="68" t="s">
        <v>0</v>
      </c>
      <c r="B1" s="69"/>
      <c r="D1" s="70" t="s">
        <v>19</v>
      </c>
      <c r="E1" s="71"/>
      <c r="F1" s="71"/>
      <c r="G1" s="71"/>
      <c r="H1" s="71"/>
      <c r="I1" s="71"/>
      <c r="J1" s="71"/>
      <c r="K1" s="71"/>
      <c r="L1" s="71"/>
      <c r="M1" s="71"/>
      <c r="N1" s="71"/>
    </row>
    <row r="2" spans="1:29" ht="43.5">
      <c r="A2" s="8" t="s">
        <v>1</v>
      </c>
      <c r="B2" s="11" t="s">
        <v>2</v>
      </c>
      <c r="D2" s="12" t="s">
        <v>20</v>
      </c>
      <c r="E2" s="12" t="s">
        <v>21</v>
      </c>
      <c r="F2" s="12" t="s">
        <v>22</v>
      </c>
      <c r="G2" s="12" t="s">
        <v>23</v>
      </c>
      <c r="H2" s="12" t="s">
        <v>24</v>
      </c>
      <c r="I2" s="12" t="s">
        <v>25</v>
      </c>
      <c r="J2" s="12" t="s">
        <v>26</v>
      </c>
      <c r="K2" s="12" t="s">
        <v>27</v>
      </c>
      <c r="L2" s="12" t="s">
        <v>28</v>
      </c>
      <c r="M2" s="12" t="s">
        <v>29</v>
      </c>
      <c r="N2" s="12" t="s">
        <v>30</v>
      </c>
      <c r="P2" s="72" t="s">
        <v>32</v>
      </c>
      <c r="Q2" s="72"/>
      <c r="R2" s="72"/>
      <c r="T2" s="73" t="s">
        <v>47</v>
      </c>
      <c r="U2" s="74"/>
      <c r="V2" s="74"/>
      <c r="X2" s="65" t="s">
        <v>106</v>
      </c>
      <c r="Y2" s="66"/>
      <c r="Z2" s="67"/>
    </row>
    <row r="3" spans="1:29" ht="15.5">
      <c r="A3" s="7" t="s">
        <v>3</v>
      </c>
      <c r="B3" s="15">
        <v>60</v>
      </c>
      <c r="D3" s="17">
        <v>0</v>
      </c>
      <c r="E3" s="17" cm="1">
        <f t="array" ref="E3">IF(D3&lt;=5, 9500 * INDEX($B$14:$B$19, D3+1), IF(D3=60, 3500*0.3, 0))</f>
        <v>475</v>
      </c>
      <c r="F3" s="18">
        <f>IF(D3&gt;=6, 80, 0)</f>
        <v>0</v>
      </c>
      <c r="G3" s="18">
        <f>IF(D3=60, E3 + F3 - 1050, E3 + F3)</f>
        <v>475</v>
      </c>
      <c r="H3" s="17">
        <f>IF(D3&lt;6, 0, IF(D3&lt;=8, 300*(0.5+0.5*(D3-5)/3), 300*(1.02)^(D3-8)))</f>
        <v>0</v>
      </c>
      <c r="I3" s="20">
        <f>1-$B$9</f>
        <v>0.98</v>
      </c>
      <c r="J3" s="17">
        <f>H3*I3</f>
        <v>0</v>
      </c>
      <c r="K3" s="17">
        <f>J3 - E3 - F3 + IF(D3=60, 1050, 0)</f>
        <v>-475</v>
      </c>
      <c r="L3" s="19">
        <v>1</v>
      </c>
      <c r="M3" s="17">
        <f>K3*L3</f>
        <v>-475</v>
      </c>
      <c r="N3" s="21">
        <f>M3</f>
        <v>-475</v>
      </c>
      <c r="P3" s="22" t="s">
        <v>33</v>
      </c>
      <c r="Q3" s="24" t="s">
        <v>31</v>
      </c>
      <c r="R3" s="24" t="s">
        <v>34</v>
      </c>
      <c r="T3" s="29" t="s">
        <v>48</v>
      </c>
      <c r="U3" s="30" t="s">
        <v>36</v>
      </c>
      <c r="V3" s="30" t="s">
        <v>49</v>
      </c>
      <c r="X3" s="6" t="s">
        <v>61</v>
      </c>
      <c r="Y3" s="6" t="s">
        <v>107</v>
      </c>
      <c r="Z3" s="6" t="s">
        <v>62</v>
      </c>
    </row>
    <row r="4" spans="1:29" ht="29">
      <c r="A4" s="7" t="s">
        <v>4</v>
      </c>
      <c r="B4" s="10">
        <v>0.04</v>
      </c>
      <c r="D4" s="17">
        <f>D3+1</f>
        <v>1</v>
      </c>
      <c r="E4" s="17" cm="1">
        <f t="array" ref="E4">IF(D4&lt;=5, 9500 * INDEX($B$14:$B$19, D4+1), IF(D4=60, 3500*0.3, 0))</f>
        <v>1425</v>
      </c>
      <c r="F4" s="18">
        <f t="shared" ref="F4:F63" si="0">IF(D4&gt;=6, 80, 0)</f>
        <v>0</v>
      </c>
      <c r="G4" s="18">
        <f t="shared" ref="G4:G62" si="1">IF(D4=60, E4 + F4 - 1050, E4 + F4)</f>
        <v>1425</v>
      </c>
      <c r="H4" s="17">
        <f t="shared" ref="H4:H63" si="2">IF(D4&lt;6, 0, IF(D4&lt;=8, 300*(0.5+0.5*(D4-5)/3), 300*(1.02)^(D4-8)))</f>
        <v>0</v>
      </c>
      <c r="I4" s="20">
        <f>1-$B$9</f>
        <v>0.98</v>
      </c>
      <c r="J4" s="17">
        <f>H4*I4</f>
        <v>0</v>
      </c>
      <c r="K4" s="17">
        <f t="shared" ref="K4:K62" si="3">J4 - E4 - F4 + IF(D4=60, 1050, 0)</f>
        <v>-1425</v>
      </c>
      <c r="L4" s="19">
        <v>0.96150000000000002</v>
      </c>
      <c r="M4" s="17">
        <f>K4*L4</f>
        <v>-1370.1375</v>
      </c>
      <c r="N4" s="21">
        <f>N3+M4</f>
        <v>-1845.1375</v>
      </c>
      <c r="P4" s="5" t="s">
        <v>43</v>
      </c>
      <c r="Q4" s="23">
        <v>9.5</v>
      </c>
      <c r="R4" s="18" t="s">
        <v>41</v>
      </c>
      <c r="T4" s="7" t="s">
        <v>103</v>
      </c>
      <c r="U4" s="14">
        <v>0.7</v>
      </c>
      <c r="V4" s="7">
        <v>-2.6</v>
      </c>
      <c r="X4" s="7" t="s">
        <v>108</v>
      </c>
      <c r="Y4" s="9" t="s">
        <v>109</v>
      </c>
      <c r="Z4" s="7" t="s">
        <v>110</v>
      </c>
    </row>
    <row r="5" spans="1:29">
      <c r="A5" s="7" t="s">
        <v>5</v>
      </c>
      <c r="B5" s="16">
        <v>9.5</v>
      </c>
      <c r="D5" s="17">
        <f t="shared" ref="D5:D63" si="4">D4+1</f>
        <v>2</v>
      </c>
      <c r="E5" s="17" cm="1">
        <f t="array" ref="E5">IF(D5&lt;=5, 9500 * INDEX($B$14:$B$19, D5+1), IF(D5=60, 3500*0.3, 0))</f>
        <v>2850</v>
      </c>
      <c r="F5" s="18">
        <f t="shared" si="0"/>
        <v>0</v>
      </c>
      <c r="G5" s="18">
        <f t="shared" si="1"/>
        <v>2850</v>
      </c>
      <c r="H5" s="17">
        <f t="shared" si="2"/>
        <v>0</v>
      </c>
      <c r="I5" s="20">
        <f t="shared" ref="I5:I63" si="5">1-$B$9</f>
        <v>0.98</v>
      </c>
      <c r="J5" s="17">
        <f t="shared" ref="J5:J63" si="6">H5*I5</f>
        <v>0</v>
      </c>
      <c r="K5" s="17">
        <f t="shared" si="3"/>
        <v>-2850</v>
      </c>
      <c r="L5" s="19">
        <v>0.92459999999999998</v>
      </c>
      <c r="M5" s="17">
        <f t="shared" ref="M5:M63" si="7">K5*L5</f>
        <v>-2635.11</v>
      </c>
      <c r="N5" s="21">
        <f t="shared" ref="N5:N62" si="8">N4+M5</f>
        <v>-4480.2475000000004</v>
      </c>
      <c r="P5" s="5" t="s">
        <v>35</v>
      </c>
      <c r="Q5" s="41">
        <f>N63/1000</f>
        <v>-2.5505300835078693</v>
      </c>
      <c r="R5" s="18" t="s">
        <v>41</v>
      </c>
      <c r="T5" s="7" t="s">
        <v>104</v>
      </c>
      <c r="U5" s="14">
        <v>1.4</v>
      </c>
      <c r="V5" s="7">
        <v>1</v>
      </c>
      <c r="X5" s="7" t="s">
        <v>111</v>
      </c>
      <c r="Y5" s="9" t="s">
        <v>112</v>
      </c>
      <c r="Z5" s="7" t="s">
        <v>110</v>
      </c>
    </row>
    <row r="6" spans="1:29">
      <c r="A6" s="7" t="s">
        <v>6</v>
      </c>
      <c r="B6" s="15">
        <v>80</v>
      </c>
      <c r="D6" s="17">
        <f t="shared" si="4"/>
        <v>3</v>
      </c>
      <c r="E6" s="17" cm="1">
        <f t="array" ref="E6">IF(D6&lt;=5, 9500 * INDEX($B$14:$B$19, D6+1), IF(D6=60, 3500*0.3, 0))</f>
        <v>2850</v>
      </c>
      <c r="F6" s="18">
        <f t="shared" si="0"/>
        <v>0</v>
      </c>
      <c r="G6" s="18">
        <f t="shared" si="1"/>
        <v>2850</v>
      </c>
      <c r="H6" s="17">
        <f t="shared" si="2"/>
        <v>0</v>
      </c>
      <c r="I6" s="20">
        <f t="shared" si="5"/>
        <v>0.98</v>
      </c>
      <c r="J6" s="17">
        <f t="shared" si="6"/>
        <v>0</v>
      </c>
      <c r="K6" s="17">
        <f t="shared" si="3"/>
        <v>-2850</v>
      </c>
      <c r="L6" s="19">
        <v>0.88900000000000001</v>
      </c>
      <c r="M6" s="17">
        <f t="shared" si="7"/>
        <v>-2533.65</v>
      </c>
      <c r="N6" s="21">
        <f t="shared" si="8"/>
        <v>-7013.8975000000009</v>
      </c>
      <c r="P6" s="5" t="s">
        <v>36</v>
      </c>
      <c r="Q6" s="42">
        <f>Q9/Q10</f>
        <v>0.7043921016812219</v>
      </c>
      <c r="R6" s="18" t="s">
        <v>44</v>
      </c>
      <c r="S6" s="3"/>
      <c r="T6" s="7" t="s">
        <v>50</v>
      </c>
      <c r="U6" s="14">
        <v>0.49</v>
      </c>
      <c r="V6" s="7">
        <v>-4.2</v>
      </c>
      <c r="X6" s="7" t="s">
        <v>113</v>
      </c>
      <c r="Y6" s="9" t="s">
        <v>114</v>
      </c>
      <c r="Z6" s="7" t="s">
        <v>115</v>
      </c>
    </row>
    <row r="7" spans="1:29">
      <c r="A7" s="7" t="s">
        <v>7</v>
      </c>
      <c r="B7" s="15">
        <v>3</v>
      </c>
      <c r="D7" s="17">
        <f t="shared" si="4"/>
        <v>4</v>
      </c>
      <c r="E7" s="17" cm="1">
        <f t="array" ref="E7">IF(D7&lt;=5, 9500 * INDEX($B$14:$B$19, D7+1), IF(D7=60, 3500*0.3, 0))</f>
        <v>1425</v>
      </c>
      <c r="F7" s="18">
        <f t="shared" si="0"/>
        <v>0</v>
      </c>
      <c r="G7" s="18">
        <f t="shared" si="1"/>
        <v>1425</v>
      </c>
      <c r="H7" s="17">
        <f t="shared" si="2"/>
        <v>0</v>
      </c>
      <c r="I7" s="20">
        <f t="shared" si="5"/>
        <v>0.98</v>
      </c>
      <c r="J7" s="17">
        <f t="shared" si="6"/>
        <v>0</v>
      </c>
      <c r="K7" s="17">
        <f t="shared" si="3"/>
        <v>-1425</v>
      </c>
      <c r="L7" s="19">
        <v>0.8548</v>
      </c>
      <c r="M7" s="17">
        <f t="shared" si="7"/>
        <v>-1218.0899999999999</v>
      </c>
      <c r="N7" s="21">
        <f t="shared" si="8"/>
        <v>-8231.9875000000011</v>
      </c>
      <c r="P7" s="5" t="s">
        <v>37</v>
      </c>
      <c r="Q7" s="9">
        <f>MATCH(0,N3:N63,1)+1</f>
        <v>62</v>
      </c>
      <c r="R7" s="18" t="s">
        <v>45</v>
      </c>
      <c r="S7" s="3"/>
      <c r="T7" s="7" t="s">
        <v>51</v>
      </c>
      <c r="U7" s="14">
        <v>0.93</v>
      </c>
      <c r="V7" s="7">
        <v>-0.8</v>
      </c>
      <c r="X7" s="7" t="s">
        <v>116</v>
      </c>
      <c r="Y7" s="9" t="s">
        <v>117</v>
      </c>
      <c r="Z7" s="7" t="s">
        <v>115</v>
      </c>
    </row>
    <row r="8" spans="1:29" ht="29">
      <c r="A8" s="7" t="s">
        <v>8</v>
      </c>
      <c r="B8" s="15">
        <v>300</v>
      </c>
      <c r="D8" s="17">
        <f t="shared" si="4"/>
        <v>5</v>
      </c>
      <c r="E8" s="17" cm="1">
        <f t="array" ref="E8">IF(D8&lt;=5, 9500 * INDEX($B$14:$B$19, D8+1), IF(D8=60, 3500*0.3, 0))</f>
        <v>475</v>
      </c>
      <c r="F8" s="18">
        <f t="shared" si="0"/>
        <v>0</v>
      </c>
      <c r="G8" s="18">
        <f t="shared" si="1"/>
        <v>475</v>
      </c>
      <c r="H8" s="17">
        <f t="shared" si="2"/>
        <v>0</v>
      </c>
      <c r="I8" s="20">
        <f t="shared" si="5"/>
        <v>0.98</v>
      </c>
      <c r="J8" s="17">
        <f t="shared" si="6"/>
        <v>0</v>
      </c>
      <c r="K8" s="17">
        <f t="shared" si="3"/>
        <v>-475</v>
      </c>
      <c r="L8" s="19">
        <v>0.82189999999999996</v>
      </c>
      <c r="M8" s="17">
        <f t="shared" si="7"/>
        <v>-390.40249999999997</v>
      </c>
      <c r="N8" s="21">
        <f t="shared" si="8"/>
        <v>-8622.3900000000012</v>
      </c>
      <c r="P8" s="27" t="s">
        <v>38</v>
      </c>
      <c r="Q8" s="10">
        <f>IRR(K3:K63,0.05)</f>
        <v>2.7309621462147327E-2</v>
      </c>
      <c r="R8" s="28" t="s">
        <v>46</v>
      </c>
      <c r="S8" s="3"/>
      <c r="T8" s="7" t="s">
        <v>105</v>
      </c>
      <c r="U8" s="14">
        <v>0.35</v>
      </c>
      <c r="V8" s="7">
        <v>-5.5</v>
      </c>
      <c r="X8" s="7" t="s">
        <v>118</v>
      </c>
      <c r="Y8" s="9">
        <v>1.4</v>
      </c>
      <c r="Z8" s="7" t="s">
        <v>115</v>
      </c>
    </row>
    <row r="9" spans="1:29">
      <c r="A9" s="7" t="s">
        <v>9</v>
      </c>
      <c r="B9" s="10">
        <v>0.02</v>
      </c>
      <c r="D9" s="17">
        <f t="shared" si="4"/>
        <v>6</v>
      </c>
      <c r="E9" s="17" cm="1">
        <f t="array" ref="E9">IF(D9&lt;=5, 9500 * INDEX($B$14:$B$19, D9+1), IF(D9=60, 3500*0.3, 0))</f>
        <v>0</v>
      </c>
      <c r="F9" s="18">
        <f t="shared" si="0"/>
        <v>80</v>
      </c>
      <c r="G9" s="18">
        <f t="shared" si="1"/>
        <v>80</v>
      </c>
      <c r="H9" s="17">
        <f t="shared" si="2"/>
        <v>200</v>
      </c>
      <c r="I9" s="20">
        <f t="shared" si="5"/>
        <v>0.98</v>
      </c>
      <c r="J9" s="17">
        <f t="shared" si="6"/>
        <v>196</v>
      </c>
      <c r="K9" s="17">
        <f t="shared" si="3"/>
        <v>116</v>
      </c>
      <c r="L9" s="19">
        <v>0.7903</v>
      </c>
      <c r="M9" s="17">
        <f t="shared" si="7"/>
        <v>91.674800000000005</v>
      </c>
      <c r="N9" s="21">
        <f t="shared" si="8"/>
        <v>-8530.7152000000006</v>
      </c>
      <c r="P9" s="5" t="s">
        <v>39</v>
      </c>
      <c r="Q9" s="43">
        <f>SUMIF(K3:K63,"&gt;0",M3:M63)</f>
        <v>6071.8599164921325</v>
      </c>
      <c r="R9" s="18" t="s">
        <v>42</v>
      </c>
      <c r="S9" s="3"/>
      <c r="T9" s="34"/>
      <c r="U9" s="34"/>
      <c r="V9" s="34"/>
      <c r="W9" s="34"/>
      <c r="X9" s="7" t="s">
        <v>119</v>
      </c>
      <c r="Y9" s="9" t="s">
        <v>120</v>
      </c>
      <c r="Z9" s="7" t="s">
        <v>115</v>
      </c>
    </row>
    <row r="10" spans="1:29">
      <c r="A10" s="7" t="s">
        <v>10</v>
      </c>
      <c r="B10" s="10">
        <v>0.25</v>
      </c>
      <c r="D10" s="17">
        <f t="shared" si="4"/>
        <v>7</v>
      </c>
      <c r="E10" s="17" cm="1">
        <f t="array" ref="E10">IF(D10&lt;=5, 9500 * INDEX($B$14:$B$19, D10+1), IF(D10=60, 3500*0.3, 0))</f>
        <v>0</v>
      </c>
      <c r="F10" s="18">
        <f t="shared" si="0"/>
        <v>80</v>
      </c>
      <c r="G10" s="18">
        <f t="shared" si="1"/>
        <v>80</v>
      </c>
      <c r="H10" s="17">
        <f t="shared" si="2"/>
        <v>249.99999999999997</v>
      </c>
      <c r="I10" s="20">
        <f t="shared" si="5"/>
        <v>0.98</v>
      </c>
      <c r="J10" s="17">
        <f t="shared" si="6"/>
        <v>244.99999999999997</v>
      </c>
      <c r="K10" s="17">
        <f t="shared" si="3"/>
        <v>164.99999999999997</v>
      </c>
      <c r="L10" s="19">
        <v>0.75990000000000002</v>
      </c>
      <c r="M10" s="17">
        <f t="shared" si="7"/>
        <v>125.38349999999998</v>
      </c>
      <c r="N10" s="21">
        <f t="shared" si="8"/>
        <v>-8405.3317000000006</v>
      </c>
      <c r="P10" s="5" t="s">
        <v>40</v>
      </c>
      <c r="Q10" s="45">
        <v>8620</v>
      </c>
      <c r="R10" s="18" t="s">
        <v>42</v>
      </c>
      <c r="S10" s="3"/>
      <c r="T10" s="77" t="s">
        <v>123</v>
      </c>
      <c r="U10" s="77"/>
      <c r="V10" s="77"/>
      <c r="W10" s="34"/>
      <c r="X10" s="7" t="s">
        <v>121</v>
      </c>
      <c r="Y10" s="9">
        <v>2034</v>
      </c>
      <c r="Z10" s="7" t="s">
        <v>122</v>
      </c>
    </row>
    <row r="11" spans="1:29" ht="29">
      <c r="A11" s="7" t="s">
        <v>11</v>
      </c>
      <c r="B11" s="10">
        <v>0.3</v>
      </c>
      <c r="D11" s="17">
        <f t="shared" si="4"/>
        <v>8</v>
      </c>
      <c r="E11" s="17" cm="1">
        <f t="array" ref="E11">IF(D11&lt;=5, 9500 * INDEX($B$14:$B$19, D11+1), IF(D11=60, 3500*0.3, 0))</f>
        <v>0</v>
      </c>
      <c r="F11" s="18">
        <f t="shared" si="0"/>
        <v>80</v>
      </c>
      <c r="G11" s="18">
        <f t="shared" si="1"/>
        <v>80</v>
      </c>
      <c r="H11" s="17">
        <f t="shared" si="2"/>
        <v>300</v>
      </c>
      <c r="I11" s="20">
        <f t="shared" si="5"/>
        <v>0.98</v>
      </c>
      <c r="J11" s="17">
        <f t="shared" si="6"/>
        <v>294</v>
      </c>
      <c r="K11" s="17">
        <f t="shared" si="3"/>
        <v>214</v>
      </c>
      <c r="L11" s="19">
        <v>0.73070000000000002</v>
      </c>
      <c r="M11" s="17">
        <f t="shared" si="7"/>
        <v>156.3698</v>
      </c>
      <c r="N11" s="21">
        <f t="shared" si="8"/>
        <v>-8248.9619000000002</v>
      </c>
      <c r="Q11" s="3"/>
      <c r="R11" s="3"/>
      <c r="S11" s="3"/>
      <c r="T11" s="77"/>
      <c r="U11" s="77"/>
      <c r="V11" s="77"/>
      <c r="W11" s="34"/>
    </row>
    <row r="12" spans="1:29">
      <c r="A12" s="7"/>
      <c r="B12" s="9"/>
      <c r="D12" s="17">
        <f t="shared" si="4"/>
        <v>9</v>
      </c>
      <c r="E12" s="17" cm="1">
        <f t="array" ref="E12">IF(D12&lt;=5, 9500 * INDEX($B$14:$B$19, D12+1), IF(D12=60, 3500*0.3, 0))</f>
        <v>0</v>
      </c>
      <c r="F12" s="18">
        <f t="shared" si="0"/>
        <v>80</v>
      </c>
      <c r="G12" s="18">
        <f t="shared" si="1"/>
        <v>80</v>
      </c>
      <c r="H12" s="17">
        <f t="shared" si="2"/>
        <v>306</v>
      </c>
      <c r="I12" s="20">
        <f t="shared" si="5"/>
        <v>0.98</v>
      </c>
      <c r="J12" s="17">
        <f t="shared" si="6"/>
        <v>299.88</v>
      </c>
      <c r="K12" s="17">
        <f t="shared" si="3"/>
        <v>219.88</v>
      </c>
      <c r="L12" s="19">
        <v>0.7026</v>
      </c>
      <c r="M12" s="17">
        <f t="shared" si="7"/>
        <v>154.48768799999999</v>
      </c>
      <c r="N12" s="21">
        <f t="shared" si="8"/>
        <v>-8094.4742120000001</v>
      </c>
      <c r="Q12" s="3"/>
      <c r="R12" s="3"/>
      <c r="S12" s="3"/>
      <c r="T12" s="77"/>
      <c r="U12" s="77"/>
      <c r="V12" s="77"/>
      <c r="W12" s="34"/>
    </row>
    <row r="13" spans="1:29" ht="43.5" customHeight="1">
      <c r="A13" s="6" t="s">
        <v>12</v>
      </c>
      <c r="B13" s="9"/>
      <c r="D13" s="17">
        <f t="shared" si="4"/>
        <v>10</v>
      </c>
      <c r="E13" s="17" cm="1">
        <f t="array" ref="E13">IF(D13&lt;=5, 9500 * INDEX($B$14:$B$19, D13+1), IF(D13=60, 3500*0.3, 0))</f>
        <v>0</v>
      </c>
      <c r="F13" s="18">
        <f t="shared" si="0"/>
        <v>80</v>
      </c>
      <c r="G13" s="18">
        <f t="shared" si="1"/>
        <v>80</v>
      </c>
      <c r="H13" s="17">
        <f t="shared" si="2"/>
        <v>312.12</v>
      </c>
      <c r="I13" s="20">
        <f t="shared" si="5"/>
        <v>0.98</v>
      </c>
      <c r="J13" s="17">
        <f t="shared" si="6"/>
        <v>305.87759999999997</v>
      </c>
      <c r="K13" s="17">
        <f t="shared" si="3"/>
        <v>225.87759999999997</v>
      </c>
      <c r="L13" s="19">
        <v>0.67559999999999998</v>
      </c>
      <c r="M13" s="17">
        <f t="shared" si="7"/>
        <v>152.60290655999998</v>
      </c>
      <c r="N13" s="21">
        <f t="shared" si="8"/>
        <v>-7941.8713054400005</v>
      </c>
      <c r="Q13" s="3"/>
      <c r="R13" s="3"/>
      <c r="S13" s="3"/>
      <c r="T13" s="77"/>
      <c r="U13" s="77"/>
      <c r="V13" s="77"/>
      <c r="W13" s="34"/>
      <c r="X13" s="34"/>
      <c r="Y13" s="34"/>
      <c r="Z13" s="34"/>
      <c r="AA13" s="34"/>
      <c r="AB13" s="34"/>
      <c r="AC13" s="34"/>
    </row>
    <row r="14" spans="1:29">
      <c r="A14" s="7" t="s">
        <v>13</v>
      </c>
      <c r="B14" s="10">
        <v>0.05</v>
      </c>
      <c r="D14" s="17">
        <f t="shared" si="4"/>
        <v>11</v>
      </c>
      <c r="E14" s="17" cm="1">
        <f t="array" ref="E14">IF(D14&lt;=5, 9500 * INDEX($B$14:$B$19, D14+1), IF(D14=60, 3500*0.3, 0))</f>
        <v>0</v>
      </c>
      <c r="F14" s="18">
        <f t="shared" si="0"/>
        <v>80</v>
      </c>
      <c r="G14" s="18">
        <f t="shared" si="1"/>
        <v>80</v>
      </c>
      <c r="H14" s="17">
        <f t="shared" si="2"/>
        <v>318.36239999999998</v>
      </c>
      <c r="I14" s="20">
        <f t="shared" si="5"/>
        <v>0.98</v>
      </c>
      <c r="J14" s="17">
        <f t="shared" si="6"/>
        <v>311.99515199999996</v>
      </c>
      <c r="K14" s="17">
        <f t="shared" si="3"/>
        <v>231.99515199999996</v>
      </c>
      <c r="L14" s="19">
        <v>0.64959999999999996</v>
      </c>
      <c r="M14" s="17">
        <f t="shared" si="7"/>
        <v>150.70405073919997</v>
      </c>
      <c r="N14" s="21">
        <f t="shared" si="8"/>
        <v>-7791.1672547008002</v>
      </c>
      <c r="Q14" s="3"/>
      <c r="R14" s="3"/>
      <c r="S14" s="3"/>
      <c r="T14" s="77"/>
      <c r="U14" s="77"/>
      <c r="V14" s="77"/>
      <c r="W14" s="34"/>
      <c r="X14" s="34"/>
      <c r="Y14" s="34"/>
      <c r="Z14" s="34"/>
      <c r="AA14" s="34"/>
      <c r="AB14" s="34"/>
      <c r="AC14" s="34"/>
    </row>
    <row r="15" spans="1:29">
      <c r="A15" s="7" t="s">
        <v>14</v>
      </c>
      <c r="B15" s="10">
        <v>0.15</v>
      </c>
      <c r="D15" s="17">
        <f t="shared" si="4"/>
        <v>12</v>
      </c>
      <c r="E15" s="17" cm="1">
        <f t="array" ref="E15">IF(D15&lt;=5, 9500 * INDEX($B$14:$B$19, D15+1), IF(D15=60, 3500*0.3, 0))</f>
        <v>0</v>
      </c>
      <c r="F15" s="18">
        <f t="shared" si="0"/>
        <v>80</v>
      </c>
      <c r="G15" s="18">
        <f t="shared" si="1"/>
        <v>80</v>
      </c>
      <c r="H15" s="17">
        <f t="shared" si="2"/>
        <v>324.729648</v>
      </c>
      <c r="I15" s="20">
        <f t="shared" si="5"/>
        <v>0.98</v>
      </c>
      <c r="J15" s="17">
        <f t="shared" si="6"/>
        <v>318.23505503999996</v>
      </c>
      <c r="K15" s="17">
        <f t="shared" si="3"/>
        <v>238.23505503999996</v>
      </c>
      <c r="L15" s="19">
        <v>0.62460000000000004</v>
      </c>
      <c r="M15" s="17">
        <f t="shared" si="7"/>
        <v>148.80161537798398</v>
      </c>
      <c r="N15" s="21">
        <f t="shared" si="8"/>
        <v>-7642.3656393228166</v>
      </c>
      <c r="U15" s="3"/>
    </row>
    <row r="16" spans="1:29" ht="18.5">
      <c r="A16" s="7" t="s">
        <v>15</v>
      </c>
      <c r="B16" s="10">
        <v>0.3</v>
      </c>
      <c r="D16" s="17">
        <f t="shared" si="4"/>
        <v>13</v>
      </c>
      <c r="E16" s="17" cm="1">
        <f t="array" ref="E16">IF(D16&lt;=5, 9500 * INDEX($B$14:$B$19, D16+1), IF(D16=60, 3500*0.3, 0))</f>
        <v>0</v>
      </c>
      <c r="F16" s="18">
        <f t="shared" si="0"/>
        <v>80</v>
      </c>
      <c r="G16" s="18">
        <f t="shared" si="1"/>
        <v>80</v>
      </c>
      <c r="H16" s="17">
        <f t="shared" si="2"/>
        <v>331.22424096000003</v>
      </c>
      <c r="I16" s="20">
        <f t="shared" si="5"/>
        <v>0.98</v>
      </c>
      <c r="J16" s="17">
        <f t="shared" si="6"/>
        <v>324.59975614080003</v>
      </c>
      <c r="K16" s="17">
        <f t="shared" si="3"/>
        <v>244.59975614080003</v>
      </c>
      <c r="L16" s="19">
        <v>0.60060000000000002</v>
      </c>
      <c r="M16" s="17">
        <f t="shared" si="7"/>
        <v>146.90661353816449</v>
      </c>
      <c r="N16" s="21">
        <f t="shared" si="8"/>
        <v>-7495.4590257846521</v>
      </c>
      <c r="P16" s="75" t="s">
        <v>52</v>
      </c>
      <c r="Q16" s="76"/>
      <c r="R16" s="76"/>
      <c r="S16" s="76"/>
      <c r="T16" s="76"/>
      <c r="U16" s="3"/>
    </row>
    <row r="17" spans="1:21">
      <c r="A17" s="7" t="s">
        <v>16</v>
      </c>
      <c r="B17" s="10">
        <v>0.3</v>
      </c>
      <c r="D17" s="17">
        <f t="shared" si="4"/>
        <v>14</v>
      </c>
      <c r="E17" s="17" cm="1">
        <f t="array" ref="E17">IF(D17&lt;=5, 9500 * INDEX($B$14:$B$19, D17+1), IF(D17=60, 3500*0.3, 0))</f>
        <v>0</v>
      </c>
      <c r="F17" s="18">
        <f t="shared" si="0"/>
        <v>80</v>
      </c>
      <c r="G17" s="18">
        <f t="shared" si="1"/>
        <v>80</v>
      </c>
      <c r="H17" s="17">
        <f t="shared" si="2"/>
        <v>337.84872577920004</v>
      </c>
      <c r="I17" s="20">
        <f t="shared" si="5"/>
        <v>0.98</v>
      </c>
      <c r="J17" s="17">
        <f t="shared" si="6"/>
        <v>331.091751263616</v>
      </c>
      <c r="K17" s="17">
        <f t="shared" si="3"/>
        <v>251.091751263616</v>
      </c>
      <c r="L17" s="19">
        <v>0.57750000000000001</v>
      </c>
      <c r="M17" s="17">
        <f t="shared" si="7"/>
        <v>145.00548635473825</v>
      </c>
      <c r="N17" s="21">
        <f t="shared" si="8"/>
        <v>-7350.4535394299137</v>
      </c>
      <c r="P17" s="46" t="s">
        <v>53</v>
      </c>
      <c r="Q17" s="46" t="s">
        <v>54</v>
      </c>
      <c r="R17" s="46" t="s">
        <v>55</v>
      </c>
      <c r="S17" s="46" t="s">
        <v>56</v>
      </c>
      <c r="T17" s="46" t="s">
        <v>57</v>
      </c>
    </row>
    <row r="18" spans="1:21">
      <c r="A18" s="7" t="s">
        <v>17</v>
      </c>
      <c r="B18" s="10">
        <v>0.15</v>
      </c>
      <c r="D18" s="17">
        <f t="shared" si="4"/>
        <v>15</v>
      </c>
      <c r="E18" s="17" cm="1">
        <f t="array" ref="E18">IF(D18&lt;=5, 9500 * INDEX($B$14:$B$19, D18+1), IF(D18=60, 3500*0.3, 0))</f>
        <v>0</v>
      </c>
      <c r="F18" s="18">
        <f t="shared" si="0"/>
        <v>80</v>
      </c>
      <c r="G18" s="18">
        <f t="shared" si="1"/>
        <v>80</v>
      </c>
      <c r="H18" s="17">
        <f t="shared" si="2"/>
        <v>344.60570029478396</v>
      </c>
      <c r="I18" s="20">
        <f t="shared" si="5"/>
        <v>0.98</v>
      </c>
      <c r="J18" s="17">
        <f t="shared" si="6"/>
        <v>337.71358628888828</v>
      </c>
      <c r="K18" s="17">
        <f t="shared" si="3"/>
        <v>257.71358628888828</v>
      </c>
      <c r="L18" s="19">
        <v>0.55530000000000002</v>
      </c>
      <c r="M18" s="17">
        <f t="shared" si="7"/>
        <v>143.10835446621968</v>
      </c>
      <c r="N18" s="21">
        <f t="shared" si="8"/>
        <v>-7207.345184963694</v>
      </c>
      <c r="P18" s="47" t="s">
        <v>58</v>
      </c>
      <c r="Q18" s="23">
        <v>0.49</v>
      </c>
      <c r="R18" s="14">
        <v>0.7</v>
      </c>
      <c r="S18" s="23">
        <v>1.4</v>
      </c>
      <c r="T18" s="49">
        <v>0.91</v>
      </c>
      <c r="U18" s="3"/>
    </row>
    <row r="19" spans="1:21">
      <c r="A19" s="7" t="s">
        <v>18</v>
      </c>
      <c r="B19" s="10">
        <v>0.05</v>
      </c>
      <c r="D19" s="17">
        <f t="shared" si="4"/>
        <v>16</v>
      </c>
      <c r="E19" s="17" cm="1">
        <f t="array" ref="E19">IF(D19&lt;=5, 9500 * INDEX($B$14:$B$19, D19+1), IF(D19=60, 3500*0.3, 0))</f>
        <v>0</v>
      </c>
      <c r="F19" s="18">
        <f t="shared" si="0"/>
        <v>80</v>
      </c>
      <c r="G19" s="18">
        <f t="shared" si="1"/>
        <v>80</v>
      </c>
      <c r="H19" s="17">
        <f t="shared" si="2"/>
        <v>351.49781430067964</v>
      </c>
      <c r="I19" s="20">
        <f t="shared" si="5"/>
        <v>0.98</v>
      </c>
      <c r="J19" s="17">
        <f t="shared" si="6"/>
        <v>344.46785801466604</v>
      </c>
      <c r="K19" s="17">
        <f t="shared" si="3"/>
        <v>264.46785801466604</v>
      </c>
      <c r="L19" s="19">
        <v>0.53390000000000004</v>
      </c>
      <c r="M19" s="17">
        <f t="shared" si="7"/>
        <v>141.19938939403022</v>
      </c>
      <c r="N19" s="21">
        <f t="shared" si="8"/>
        <v>-7066.1457955696642</v>
      </c>
      <c r="P19" s="47" t="s">
        <v>59</v>
      </c>
      <c r="Q19" s="23">
        <v>0.7</v>
      </c>
      <c r="R19" s="14">
        <v>0.7</v>
      </c>
      <c r="S19" s="23">
        <v>0.93</v>
      </c>
      <c r="T19" s="49">
        <v>0.23</v>
      </c>
      <c r="U19" s="3"/>
    </row>
    <row r="20" spans="1:21">
      <c r="A20" s="6"/>
      <c r="B20" s="26">
        <f>SUM(B14:B19)</f>
        <v>1</v>
      </c>
      <c r="D20" s="17">
        <f t="shared" si="4"/>
        <v>17</v>
      </c>
      <c r="E20" s="17" cm="1">
        <f t="array" ref="E20">IF(D20&lt;=5, 9500 * INDEX($B$14:$B$19, D20+1), IF(D20=60, 3500*0.3, 0))</f>
        <v>0</v>
      </c>
      <c r="F20" s="18">
        <f t="shared" si="0"/>
        <v>80</v>
      </c>
      <c r="G20" s="18">
        <f t="shared" si="1"/>
        <v>80</v>
      </c>
      <c r="H20" s="17">
        <f t="shared" si="2"/>
        <v>358.52777058669324</v>
      </c>
      <c r="I20" s="20">
        <f t="shared" si="5"/>
        <v>0.98</v>
      </c>
      <c r="J20" s="17">
        <f t="shared" si="6"/>
        <v>351.35721517495938</v>
      </c>
      <c r="K20" s="17">
        <f t="shared" si="3"/>
        <v>271.35721517495938</v>
      </c>
      <c r="L20" s="19">
        <v>0.51339999999999997</v>
      </c>
      <c r="M20" s="17">
        <f t="shared" si="7"/>
        <v>139.31479427082414</v>
      </c>
      <c r="N20" s="21">
        <f t="shared" si="8"/>
        <v>-6926.8310012988404</v>
      </c>
      <c r="P20" s="48" t="s">
        <v>105</v>
      </c>
      <c r="Q20" s="23">
        <v>0.35</v>
      </c>
      <c r="R20" s="14">
        <v>0.7</v>
      </c>
      <c r="S20" s="23">
        <v>0.7</v>
      </c>
      <c r="T20" s="49">
        <v>0.35</v>
      </c>
      <c r="U20" s="3"/>
    </row>
    <row r="21" spans="1:21">
      <c r="D21" s="17">
        <f t="shared" si="4"/>
        <v>18</v>
      </c>
      <c r="E21" s="17" cm="1">
        <f t="array" ref="E21">IF(D21&lt;=5, 9500 * INDEX($B$14:$B$19, D21+1), IF(D21=60, 3500*0.3, 0))</f>
        <v>0</v>
      </c>
      <c r="F21" s="18">
        <f t="shared" si="0"/>
        <v>80</v>
      </c>
      <c r="G21" s="18">
        <f t="shared" si="1"/>
        <v>80</v>
      </c>
      <c r="H21" s="17">
        <f t="shared" si="2"/>
        <v>365.69832599842715</v>
      </c>
      <c r="I21" s="20">
        <f t="shared" si="5"/>
        <v>0.98</v>
      </c>
      <c r="J21" s="17">
        <f t="shared" si="6"/>
        <v>358.38435947845858</v>
      </c>
      <c r="K21" s="17">
        <f t="shared" si="3"/>
        <v>278.38435947845858</v>
      </c>
      <c r="L21" s="19">
        <v>0.49359999999999998</v>
      </c>
      <c r="M21" s="17">
        <f t="shared" si="7"/>
        <v>137.41051983856715</v>
      </c>
      <c r="N21" s="21">
        <f t="shared" si="8"/>
        <v>-6789.4204814602735</v>
      </c>
      <c r="Q21" s="50"/>
      <c r="R21" s="50"/>
      <c r="S21" s="50"/>
      <c r="T21" s="51"/>
      <c r="U21" s="3"/>
    </row>
    <row r="22" spans="1:21">
      <c r="A22" s="61" t="s">
        <v>60</v>
      </c>
      <c r="B22" s="62"/>
      <c r="C22" s="63"/>
      <c r="D22" s="17">
        <f t="shared" si="4"/>
        <v>19</v>
      </c>
      <c r="E22" s="17" cm="1">
        <f t="array" ref="E22">IF(D22&lt;=5, 9500 * INDEX($B$14:$B$19, D22+1), IF(D22=60, 3500*0.3, 0))</f>
        <v>0</v>
      </c>
      <c r="F22" s="18">
        <f t="shared" si="0"/>
        <v>80</v>
      </c>
      <c r="G22" s="18">
        <f t="shared" si="1"/>
        <v>80</v>
      </c>
      <c r="H22" s="17">
        <f t="shared" si="2"/>
        <v>373.01229251839561</v>
      </c>
      <c r="I22" s="20">
        <f t="shared" si="5"/>
        <v>0.98</v>
      </c>
      <c r="J22" s="17">
        <f t="shared" si="6"/>
        <v>365.55204666802769</v>
      </c>
      <c r="K22" s="17">
        <f t="shared" si="3"/>
        <v>285.55204666802769</v>
      </c>
      <c r="L22" s="19">
        <v>0.47460000000000002</v>
      </c>
      <c r="M22" s="17">
        <f t="shared" si="7"/>
        <v>135.52300134864595</v>
      </c>
      <c r="N22" s="21">
        <f t="shared" si="8"/>
        <v>-6653.8974801116274</v>
      </c>
      <c r="Q22" s="3"/>
      <c r="R22" s="3"/>
      <c r="T22" s="3"/>
      <c r="U22" s="3"/>
    </row>
    <row r="23" spans="1:21">
      <c r="A23" s="31" t="s">
        <v>61</v>
      </c>
      <c r="B23" s="31" t="s">
        <v>31</v>
      </c>
      <c r="C23" s="31" t="s">
        <v>62</v>
      </c>
      <c r="D23" s="17">
        <f t="shared" si="4"/>
        <v>20</v>
      </c>
      <c r="E23" s="17" cm="1">
        <f t="array" ref="E23">IF(D23&lt;=5, 9500 * INDEX($B$14:$B$19, D23+1), IF(D23=60, 3500*0.3, 0))</f>
        <v>0</v>
      </c>
      <c r="F23" s="18">
        <f t="shared" si="0"/>
        <v>80</v>
      </c>
      <c r="G23" s="18">
        <f t="shared" si="1"/>
        <v>80</v>
      </c>
      <c r="H23" s="17">
        <f t="shared" si="2"/>
        <v>380.47253836876359</v>
      </c>
      <c r="I23" s="20">
        <f t="shared" si="5"/>
        <v>0.98</v>
      </c>
      <c r="J23" s="17">
        <f t="shared" si="6"/>
        <v>372.86308760138832</v>
      </c>
      <c r="K23" s="17">
        <f t="shared" si="3"/>
        <v>292.86308760138832</v>
      </c>
      <c r="L23" s="19">
        <v>0.45639999999999997</v>
      </c>
      <c r="M23" s="17">
        <f t="shared" si="7"/>
        <v>133.66271318127363</v>
      </c>
      <c r="N23" s="21">
        <f t="shared" si="8"/>
        <v>-6520.2347669303535</v>
      </c>
      <c r="T23" s="3"/>
      <c r="U23" s="3"/>
    </row>
    <row r="24" spans="1:21" ht="26">
      <c r="A24" s="32" t="s">
        <v>63</v>
      </c>
      <c r="B24" s="39" t="s">
        <v>64</v>
      </c>
      <c r="C24" s="32" t="s">
        <v>65</v>
      </c>
      <c r="D24" s="17">
        <f t="shared" si="4"/>
        <v>21</v>
      </c>
      <c r="E24" s="17" cm="1">
        <f t="array" ref="E24">IF(D24&lt;=5, 9500 * INDEX($B$14:$B$19, D24+1), IF(D24=60, 3500*0.3, 0))</f>
        <v>0</v>
      </c>
      <c r="F24" s="18">
        <f t="shared" si="0"/>
        <v>80</v>
      </c>
      <c r="G24" s="18">
        <f t="shared" si="1"/>
        <v>80</v>
      </c>
      <c r="H24" s="17">
        <f t="shared" si="2"/>
        <v>388.08198913613882</v>
      </c>
      <c r="I24" s="20">
        <f t="shared" si="5"/>
        <v>0.98</v>
      </c>
      <c r="J24" s="17">
        <f t="shared" si="6"/>
        <v>380.32034935341602</v>
      </c>
      <c r="K24" s="17">
        <f t="shared" si="3"/>
        <v>300.32034935341602</v>
      </c>
      <c r="L24" s="19">
        <v>0.43880000000000002</v>
      </c>
      <c r="M24" s="17">
        <f t="shared" si="7"/>
        <v>131.78056929627897</v>
      </c>
      <c r="N24" s="21">
        <f t="shared" si="8"/>
        <v>-6388.4541976340743</v>
      </c>
      <c r="T24" s="3"/>
      <c r="U24" s="3"/>
    </row>
    <row r="25" spans="1:21" ht="39">
      <c r="A25" s="32" t="s">
        <v>66</v>
      </c>
      <c r="B25" s="40">
        <v>0.04</v>
      </c>
      <c r="C25" s="32" t="s">
        <v>67</v>
      </c>
      <c r="D25" s="17">
        <f t="shared" si="4"/>
        <v>22</v>
      </c>
      <c r="E25" s="17" cm="1">
        <f t="array" ref="E25">IF(D25&lt;=5, 9500 * INDEX($B$14:$B$19, D25+1), IF(D25=60, 3500*0.3, 0))</f>
        <v>0</v>
      </c>
      <c r="F25" s="18">
        <f t="shared" si="0"/>
        <v>80</v>
      </c>
      <c r="G25" s="18">
        <f t="shared" si="1"/>
        <v>80</v>
      </c>
      <c r="H25" s="17">
        <f t="shared" si="2"/>
        <v>395.84362891886167</v>
      </c>
      <c r="I25" s="20">
        <f t="shared" si="5"/>
        <v>0.98</v>
      </c>
      <c r="J25" s="17">
        <f t="shared" si="6"/>
        <v>387.92675634048442</v>
      </c>
      <c r="K25" s="17">
        <f t="shared" si="3"/>
        <v>307.92675634048442</v>
      </c>
      <c r="L25" s="19">
        <v>0.4219</v>
      </c>
      <c r="M25" s="17">
        <f t="shared" si="7"/>
        <v>129.91429850005036</v>
      </c>
      <c r="N25" s="21">
        <f t="shared" si="8"/>
        <v>-6258.5398991340235</v>
      </c>
      <c r="T25" s="3"/>
      <c r="U25" s="3"/>
    </row>
    <row r="26" spans="1:21" ht="52">
      <c r="A26" s="32" t="s">
        <v>68</v>
      </c>
      <c r="B26" s="39" t="s">
        <v>125</v>
      </c>
      <c r="C26" s="32" t="s">
        <v>126</v>
      </c>
      <c r="D26" s="17">
        <f t="shared" si="4"/>
        <v>23</v>
      </c>
      <c r="E26" s="17" cm="1">
        <f t="array" ref="E26">IF(D26&lt;=5, 9500 * INDEX($B$14:$B$19, D26+1), IF(D26=60, 3500*0.3, 0))</f>
        <v>0</v>
      </c>
      <c r="F26" s="18">
        <f t="shared" si="0"/>
        <v>80</v>
      </c>
      <c r="G26" s="18">
        <f t="shared" si="1"/>
        <v>80</v>
      </c>
      <c r="H26" s="17">
        <f t="shared" si="2"/>
        <v>403.76050149723875</v>
      </c>
      <c r="I26" s="20">
        <f t="shared" si="5"/>
        <v>0.98</v>
      </c>
      <c r="J26" s="17">
        <f t="shared" si="6"/>
        <v>395.68529146729395</v>
      </c>
      <c r="K26" s="17">
        <f t="shared" si="3"/>
        <v>315.68529146729395</v>
      </c>
      <c r="L26" s="19">
        <v>0.40560000000000002</v>
      </c>
      <c r="M26" s="17">
        <f t="shared" si="7"/>
        <v>128.04195421913442</v>
      </c>
      <c r="N26" s="21">
        <f t="shared" si="8"/>
        <v>-6130.4979449148886</v>
      </c>
      <c r="T26" s="3"/>
      <c r="U26" s="3"/>
    </row>
    <row r="27" spans="1:21" ht="42.5" customHeight="1">
      <c r="A27" s="32" t="s">
        <v>69</v>
      </c>
      <c r="B27" s="39" t="s">
        <v>70</v>
      </c>
      <c r="C27" s="32" t="s">
        <v>71</v>
      </c>
      <c r="D27" s="17">
        <f t="shared" si="4"/>
        <v>24</v>
      </c>
      <c r="E27" s="17" cm="1">
        <f t="array" ref="E27">IF(D27&lt;=5, 9500 * INDEX($B$14:$B$19, D27+1), IF(D27=60, 3500*0.3, 0))</f>
        <v>0</v>
      </c>
      <c r="F27" s="18">
        <f t="shared" si="0"/>
        <v>80</v>
      </c>
      <c r="G27" s="18">
        <f t="shared" si="1"/>
        <v>80</v>
      </c>
      <c r="H27" s="17">
        <f t="shared" si="2"/>
        <v>411.83571152718361</v>
      </c>
      <c r="I27" s="20">
        <f t="shared" si="5"/>
        <v>0.98</v>
      </c>
      <c r="J27" s="17">
        <f t="shared" si="6"/>
        <v>403.59899729663994</v>
      </c>
      <c r="K27" s="17">
        <f t="shared" si="3"/>
        <v>323.59899729663994</v>
      </c>
      <c r="L27" s="19">
        <v>0.3901</v>
      </c>
      <c r="M27" s="17">
        <f t="shared" si="7"/>
        <v>126.23596884541924</v>
      </c>
      <c r="N27" s="21">
        <f t="shared" si="8"/>
        <v>-6004.2619760694697</v>
      </c>
      <c r="T27" s="3"/>
      <c r="U27" s="3"/>
    </row>
    <row r="28" spans="1:21" s="1" customFormat="1" ht="78">
      <c r="A28" s="32" t="s">
        <v>72</v>
      </c>
      <c r="B28" s="32" t="s">
        <v>73</v>
      </c>
      <c r="C28" s="32" t="s">
        <v>127</v>
      </c>
      <c r="D28" s="25">
        <f t="shared" si="4"/>
        <v>25</v>
      </c>
      <c r="E28" s="25" cm="1">
        <f t="array" ref="E28">IF(D28&lt;=5, 9500 * INDEX($B$14:$B$19, D28+1), IF(D28=60, 3500*0.3, 0))</f>
        <v>0</v>
      </c>
      <c r="F28" s="28">
        <f t="shared" si="0"/>
        <v>80</v>
      </c>
      <c r="G28" s="28">
        <f t="shared" si="1"/>
        <v>80</v>
      </c>
      <c r="H28" s="25">
        <f t="shared" si="2"/>
        <v>420.07242575772733</v>
      </c>
      <c r="I28" s="56">
        <f t="shared" si="5"/>
        <v>0.98</v>
      </c>
      <c r="J28" s="25">
        <f t="shared" si="6"/>
        <v>411.6709772425728</v>
      </c>
      <c r="K28" s="25">
        <f t="shared" si="3"/>
        <v>331.6709772425728</v>
      </c>
      <c r="L28" s="19">
        <v>0.37509999999999999</v>
      </c>
      <c r="M28" s="25">
        <f t="shared" si="7"/>
        <v>124.40978356368906</v>
      </c>
      <c r="N28" s="57">
        <f t="shared" si="8"/>
        <v>-5879.8521925057803</v>
      </c>
      <c r="T28" s="3"/>
      <c r="U28" s="3"/>
    </row>
    <row r="29" spans="1:21" ht="26">
      <c r="A29" s="32" t="s">
        <v>74</v>
      </c>
      <c r="B29" s="40">
        <v>0.02</v>
      </c>
      <c r="C29" s="32" t="s">
        <v>75</v>
      </c>
      <c r="D29" s="17">
        <f t="shared" si="4"/>
        <v>26</v>
      </c>
      <c r="E29" s="17" cm="1">
        <f t="array" ref="E29">IF(D29&lt;=5, 9500 * INDEX($B$14:$B$19, D29+1), IF(D29=60, 3500*0.3, 0))</f>
        <v>0</v>
      </c>
      <c r="F29" s="18">
        <f t="shared" si="0"/>
        <v>80</v>
      </c>
      <c r="G29" s="18">
        <f t="shared" si="1"/>
        <v>80</v>
      </c>
      <c r="H29" s="17">
        <f t="shared" si="2"/>
        <v>428.4738742728818</v>
      </c>
      <c r="I29" s="20">
        <f t="shared" si="5"/>
        <v>0.98</v>
      </c>
      <c r="J29" s="17">
        <f t="shared" si="6"/>
        <v>419.90439678742416</v>
      </c>
      <c r="K29" s="17">
        <f t="shared" si="3"/>
        <v>339.90439678742416</v>
      </c>
      <c r="L29" s="19">
        <v>0.36070000000000002</v>
      </c>
      <c r="M29" s="17">
        <f t="shared" si="7"/>
        <v>122.6035159212239</v>
      </c>
      <c r="N29" s="21">
        <f t="shared" si="8"/>
        <v>-5757.2486765845561</v>
      </c>
      <c r="T29" s="3"/>
      <c r="U29" s="3"/>
    </row>
    <row r="30" spans="1:21" s="1" customFormat="1" ht="52">
      <c r="A30" s="32" t="s">
        <v>59</v>
      </c>
      <c r="B30" s="40">
        <v>0.25</v>
      </c>
      <c r="C30" s="32" t="s">
        <v>128</v>
      </c>
      <c r="D30" s="25">
        <f t="shared" si="4"/>
        <v>27</v>
      </c>
      <c r="E30" s="25" cm="1">
        <f t="array" ref="E30">IF(D30&lt;=5, 9500 * INDEX($B$14:$B$19, D30+1), IF(D30=60, 3500*0.3, 0))</f>
        <v>0</v>
      </c>
      <c r="F30" s="28">
        <f t="shared" si="0"/>
        <v>80</v>
      </c>
      <c r="G30" s="28">
        <f t="shared" si="1"/>
        <v>80</v>
      </c>
      <c r="H30" s="25">
        <f t="shared" si="2"/>
        <v>437.04335175833944</v>
      </c>
      <c r="I30" s="56">
        <f t="shared" si="5"/>
        <v>0.98</v>
      </c>
      <c r="J30" s="25">
        <f t="shared" si="6"/>
        <v>428.30248472317265</v>
      </c>
      <c r="K30" s="25">
        <f t="shared" si="3"/>
        <v>348.30248472317265</v>
      </c>
      <c r="L30" s="19">
        <v>0.3468</v>
      </c>
      <c r="M30" s="25">
        <f t="shared" si="7"/>
        <v>120.79130170199628</v>
      </c>
      <c r="N30" s="57">
        <f t="shared" si="8"/>
        <v>-5636.4573748825596</v>
      </c>
      <c r="T30" s="3"/>
      <c r="U30" s="3"/>
    </row>
    <row r="31" spans="1:21" ht="39">
      <c r="A31" s="32" t="s">
        <v>76</v>
      </c>
      <c r="B31" s="40">
        <v>0.3</v>
      </c>
      <c r="C31" s="32" t="s">
        <v>77</v>
      </c>
      <c r="D31" s="17">
        <f t="shared" si="4"/>
        <v>28</v>
      </c>
      <c r="E31" s="17" cm="1">
        <f t="array" ref="E31">IF(D31&lt;=5, 9500 * INDEX($B$14:$B$19, D31+1), IF(D31=60, 3500*0.3, 0))</f>
        <v>0</v>
      </c>
      <c r="F31" s="18">
        <f t="shared" si="0"/>
        <v>80</v>
      </c>
      <c r="G31" s="18">
        <f t="shared" si="1"/>
        <v>80</v>
      </c>
      <c r="H31" s="17">
        <f t="shared" si="2"/>
        <v>445.78421879350628</v>
      </c>
      <c r="I31" s="20">
        <f t="shared" si="5"/>
        <v>0.98</v>
      </c>
      <c r="J31" s="17">
        <f t="shared" si="6"/>
        <v>436.86853441763617</v>
      </c>
      <c r="K31" s="17">
        <f t="shared" si="3"/>
        <v>356.86853441763617</v>
      </c>
      <c r="L31" s="19">
        <v>0.33350000000000002</v>
      </c>
      <c r="M31" s="17">
        <f t="shared" si="7"/>
        <v>119.01565622828167</v>
      </c>
      <c r="N31" s="21">
        <f t="shared" si="8"/>
        <v>-5517.4417186542778</v>
      </c>
      <c r="T31" s="3"/>
      <c r="U31" s="3"/>
    </row>
    <row r="32" spans="1:21" ht="39">
      <c r="A32" s="32" t="s">
        <v>78</v>
      </c>
      <c r="B32" s="39" t="s">
        <v>79</v>
      </c>
      <c r="C32" s="32" t="s">
        <v>129</v>
      </c>
      <c r="D32" s="17">
        <f t="shared" si="4"/>
        <v>29</v>
      </c>
      <c r="E32" s="17" cm="1">
        <f t="array" ref="E32">IF(D32&lt;=5, 9500 * INDEX($B$14:$B$19, D32+1), IF(D32=60, 3500*0.3, 0))</f>
        <v>0</v>
      </c>
      <c r="F32" s="18">
        <f t="shared" si="0"/>
        <v>80</v>
      </c>
      <c r="G32" s="18">
        <f t="shared" si="1"/>
        <v>80</v>
      </c>
      <c r="H32" s="17">
        <f t="shared" si="2"/>
        <v>454.69990316937634</v>
      </c>
      <c r="I32" s="20">
        <f t="shared" si="5"/>
        <v>0.98</v>
      </c>
      <c r="J32" s="17">
        <f t="shared" si="6"/>
        <v>445.60590510598882</v>
      </c>
      <c r="K32" s="17">
        <f t="shared" si="3"/>
        <v>365.60590510598882</v>
      </c>
      <c r="L32" s="19">
        <v>0.32069999999999999</v>
      </c>
      <c r="M32" s="17">
        <f t="shared" si="7"/>
        <v>117.24981376749061</v>
      </c>
      <c r="N32" s="21">
        <f t="shared" si="8"/>
        <v>-5400.1919048867876</v>
      </c>
      <c r="T32" s="3"/>
      <c r="U32" s="3"/>
    </row>
    <row r="33" spans="1:21">
      <c r="D33" s="17">
        <f t="shared" si="4"/>
        <v>30</v>
      </c>
      <c r="E33" s="17" cm="1">
        <f t="array" ref="E33">IF(D33&lt;=5, 9500 * INDEX($B$14:$B$19, D33+1), IF(D33=60, 3500*0.3, 0))</f>
        <v>0</v>
      </c>
      <c r="F33" s="18">
        <f t="shared" si="0"/>
        <v>80</v>
      </c>
      <c r="G33" s="18">
        <f t="shared" si="1"/>
        <v>80</v>
      </c>
      <c r="H33" s="17">
        <f t="shared" si="2"/>
        <v>463.79390123276391</v>
      </c>
      <c r="I33" s="20">
        <f t="shared" si="5"/>
        <v>0.98</v>
      </c>
      <c r="J33" s="17">
        <f t="shared" si="6"/>
        <v>454.51802320810862</v>
      </c>
      <c r="K33" s="17">
        <f t="shared" si="3"/>
        <v>374.51802320810862</v>
      </c>
      <c r="L33" s="19">
        <v>0.30830000000000002</v>
      </c>
      <c r="M33" s="17">
        <f t="shared" si="7"/>
        <v>115.46390655505989</v>
      </c>
      <c r="N33" s="21">
        <f t="shared" si="8"/>
        <v>-5284.7279983317276</v>
      </c>
      <c r="T33" s="3"/>
      <c r="U33" s="3"/>
    </row>
    <row r="34" spans="1:21">
      <c r="D34" s="17">
        <f t="shared" si="4"/>
        <v>31</v>
      </c>
      <c r="E34" s="17" cm="1">
        <f t="array" ref="E34">IF(D34&lt;=5, 9500 * INDEX($B$14:$B$19, D34+1), IF(D34=60, 3500*0.3, 0))</f>
        <v>0</v>
      </c>
      <c r="F34" s="18">
        <f t="shared" si="0"/>
        <v>80</v>
      </c>
      <c r="G34" s="18">
        <f t="shared" si="1"/>
        <v>80</v>
      </c>
      <c r="H34" s="17">
        <f t="shared" si="2"/>
        <v>473.0697792574191</v>
      </c>
      <c r="I34" s="20">
        <f t="shared" si="5"/>
        <v>0.98</v>
      </c>
      <c r="J34" s="17">
        <f t="shared" si="6"/>
        <v>463.60838367227069</v>
      </c>
      <c r="K34" s="17">
        <f t="shared" si="3"/>
        <v>383.60838367227069</v>
      </c>
      <c r="L34" s="19">
        <v>0.29649999999999999</v>
      </c>
      <c r="M34" s="17">
        <f t="shared" si="7"/>
        <v>113.73988575882825</v>
      </c>
      <c r="N34" s="21">
        <f t="shared" si="8"/>
        <v>-5170.9881125728989</v>
      </c>
      <c r="T34" s="3"/>
      <c r="U34" s="3"/>
    </row>
    <row r="35" spans="1:21">
      <c r="A35" s="58"/>
      <c r="B35" s="58"/>
      <c r="C35" s="59"/>
      <c r="D35" s="17">
        <f t="shared" si="4"/>
        <v>32</v>
      </c>
      <c r="E35" s="17" cm="1">
        <f t="array" ref="E35">IF(D35&lt;=5, 9500 * INDEX($B$14:$B$19, D35+1), IF(D35=60, 3500*0.3, 0))</f>
        <v>0</v>
      </c>
      <c r="F35" s="18">
        <f t="shared" si="0"/>
        <v>80</v>
      </c>
      <c r="G35" s="18">
        <f t="shared" si="1"/>
        <v>80</v>
      </c>
      <c r="H35" s="17">
        <f t="shared" si="2"/>
        <v>482.53117484256751</v>
      </c>
      <c r="I35" s="20">
        <f t="shared" si="5"/>
        <v>0.98</v>
      </c>
      <c r="J35" s="17">
        <f t="shared" si="6"/>
        <v>472.88055134571613</v>
      </c>
      <c r="K35" s="17">
        <f t="shared" si="3"/>
        <v>392.88055134571613</v>
      </c>
      <c r="L35" s="19">
        <v>0.28510000000000002</v>
      </c>
      <c r="M35" s="17">
        <f t="shared" si="7"/>
        <v>112.01024518866367</v>
      </c>
      <c r="N35" s="21">
        <f t="shared" si="8"/>
        <v>-5058.9778673842357</v>
      </c>
      <c r="T35" s="3"/>
      <c r="U35" s="3"/>
    </row>
    <row r="36" spans="1:21">
      <c r="A36" s="58"/>
      <c r="B36" s="58"/>
      <c r="C36" s="59"/>
      <c r="D36" s="17">
        <f t="shared" si="4"/>
        <v>33</v>
      </c>
      <c r="E36" s="17" cm="1">
        <f t="array" ref="E36">IF(D36&lt;=5, 9500 * INDEX($B$14:$B$19, D36+1), IF(D36=60, 3500*0.3, 0))</f>
        <v>0</v>
      </c>
      <c r="F36" s="18">
        <f t="shared" si="0"/>
        <v>80</v>
      </c>
      <c r="G36" s="18">
        <f t="shared" si="1"/>
        <v>80</v>
      </c>
      <c r="H36" s="17">
        <f t="shared" si="2"/>
        <v>492.18179833941889</v>
      </c>
      <c r="I36" s="20">
        <f t="shared" si="5"/>
        <v>0.98</v>
      </c>
      <c r="J36" s="17">
        <f t="shared" si="6"/>
        <v>482.33816237263051</v>
      </c>
      <c r="K36" s="17">
        <f t="shared" si="3"/>
        <v>402.33816237263051</v>
      </c>
      <c r="L36" s="19">
        <v>0.27410000000000001</v>
      </c>
      <c r="M36" s="17">
        <f t="shared" si="7"/>
        <v>110.28089030633802</v>
      </c>
      <c r="N36" s="21">
        <f t="shared" si="8"/>
        <v>-4948.6969770778978</v>
      </c>
      <c r="T36" s="3"/>
      <c r="U36" s="3"/>
    </row>
    <row r="37" spans="1:21">
      <c r="D37" s="17">
        <f t="shared" si="4"/>
        <v>34</v>
      </c>
      <c r="E37" s="17" cm="1">
        <f t="array" ref="E37">IF(D37&lt;=5, 9500 * INDEX($B$14:$B$19, D37+1), IF(D37=60, 3500*0.3, 0))</f>
        <v>0</v>
      </c>
      <c r="F37" s="18">
        <f t="shared" si="0"/>
        <v>80</v>
      </c>
      <c r="G37" s="18">
        <f t="shared" si="1"/>
        <v>80</v>
      </c>
      <c r="H37" s="17">
        <f t="shared" si="2"/>
        <v>502.02543430620727</v>
      </c>
      <c r="I37" s="20">
        <f t="shared" si="5"/>
        <v>0.98</v>
      </c>
      <c r="J37" s="17">
        <f t="shared" si="6"/>
        <v>491.98492562008312</v>
      </c>
      <c r="K37" s="17">
        <f t="shared" si="3"/>
        <v>411.98492562008312</v>
      </c>
      <c r="L37" s="19">
        <v>0.2636</v>
      </c>
      <c r="M37" s="17">
        <f t="shared" si="7"/>
        <v>108.5992263934539</v>
      </c>
      <c r="N37" s="21">
        <f t="shared" si="8"/>
        <v>-4840.0977506844438</v>
      </c>
      <c r="T37" s="3"/>
      <c r="U37" s="3"/>
    </row>
    <row r="38" spans="1:21">
      <c r="D38" s="17">
        <f t="shared" si="4"/>
        <v>35</v>
      </c>
      <c r="E38" s="17" cm="1">
        <f t="array" ref="E38">IF(D38&lt;=5, 9500 * INDEX($B$14:$B$19, D38+1), IF(D38=60, 3500*0.3, 0))</f>
        <v>0</v>
      </c>
      <c r="F38" s="18">
        <f t="shared" si="0"/>
        <v>80</v>
      </c>
      <c r="G38" s="18">
        <f t="shared" si="1"/>
        <v>80</v>
      </c>
      <c r="H38" s="17">
        <f t="shared" si="2"/>
        <v>512.06594299233132</v>
      </c>
      <c r="I38" s="20">
        <f t="shared" si="5"/>
        <v>0.98</v>
      </c>
      <c r="J38" s="17">
        <f t="shared" si="6"/>
        <v>501.8246241324847</v>
      </c>
      <c r="K38" s="17">
        <f t="shared" si="3"/>
        <v>421.8246241324847</v>
      </c>
      <c r="L38" s="19">
        <v>0.2535</v>
      </c>
      <c r="M38" s="17">
        <f t="shared" si="7"/>
        <v>106.93254221758487</v>
      </c>
      <c r="N38" s="21">
        <f t="shared" si="8"/>
        <v>-4733.1652084668585</v>
      </c>
      <c r="P38" s="52" t="s">
        <v>102</v>
      </c>
      <c r="Q38" s="53"/>
      <c r="R38" s="54"/>
      <c r="S38" s="54"/>
      <c r="T38" s="55"/>
      <c r="U38" s="3"/>
    </row>
    <row r="39" spans="1:21">
      <c r="D39" s="17">
        <f t="shared" si="4"/>
        <v>36</v>
      </c>
      <c r="E39" s="17" cm="1">
        <f t="array" ref="E39">IF(D39&lt;=5, 9500 * INDEX($B$14:$B$19, D39+1), IF(D39=60, 3500*0.3, 0))</f>
        <v>0</v>
      </c>
      <c r="F39" s="18">
        <f t="shared" si="0"/>
        <v>80</v>
      </c>
      <c r="G39" s="18">
        <f t="shared" si="1"/>
        <v>80</v>
      </c>
      <c r="H39" s="17">
        <f t="shared" si="2"/>
        <v>522.30726185217804</v>
      </c>
      <c r="I39" s="20">
        <f t="shared" si="5"/>
        <v>0.98</v>
      </c>
      <c r="J39" s="17">
        <f t="shared" si="6"/>
        <v>511.86111661513445</v>
      </c>
      <c r="K39" s="17">
        <f t="shared" si="3"/>
        <v>431.86111661513445</v>
      </c>
      <c r="L39" s="19">
        <v>0.24379999999999999</v>
      </c>
      <c r="M39" s="17">
        <f t="shared" si="7"/>
        <v>105.28774023076977</v>
      </c>
      <c r="N39" s="21">
        <f t="shared" si="8"/>
        <v>-4627.877468236089</v>
      </c>
      <c r="P39" s="60" t="s">
        <v>124</v>
      </c>
      <c r="Q39" s="60"/>
      <c r="R39" s="60"/>
      <c r="S39" s="60"/>
      <c r="T39" s="60"/>
      <c r="U39" s="3"/>
    </row>
    <row r="40" spans="1:21">
      <c r="D40" s="17">
        <f t="shared" si="4"/>
        <v>37</v>
      </c>
      <c r="E40" s="17" cm="1">
        <f t="array" ref="E40">IF(D40&lt;=5, 9500 * INDEX($B$14:$B$19, D40+1), IF(D40=60, 3500*0.3, 0))</f>
        <v>0</v>
      </c>
      <c r="F40" s="18">
        <f t="shared" si="0"/>
        <v>80</v>
      </c>
      <c r="G40" s="18">
        <f t="shared" si="1"/>
        <v>80</v>
      </c>
      <c r="H40" s="17">
        <f t="shared" si="2"/>
        <v>532.75340708922158</v>
      </c>
      <c r="I40" s="20">
        <f t="shared" si="5"/>
        <v>0.98</v>
      </c>
      <c r="J40" s="17">
        <f t="shared" si="6"/>
        <v>522.09833894743713</v>
      </c>
      <c r="K40" s="17">
        <f t="shared" si="3"/>
        <v>442.09833894743713</v>
      </c>
      <c r="L40" s="19">
        <v>0.2344</v>
      </c>
      <c r="M40" s="17">
        <f t="shared" si="7"/>
        <v>103.62785064927927</v>
      </c>
      <c r="N40" s="21">
        <f t="shared" si="8"/>
        <v>-4524.24961758681</v>
      </c>
      <c r="P40" s="60"/>
      <c r="Q40" s="60"/>
      <c r="R40" s="60"/>
      <c r="S40" s="60"/>
      <c r="T40" s="60"/>
      <c r="U40" s="3"/>
    </row>
    <row r="41" spans="1:21">
      <c r="D41" s="17">
        <f t="shared" si="4"/>
        <v>38</v>
      </c>
      <c r="E41" s="17" cm="1">
        <f t="array" ref="E41">IF(D41&lt;=5, 9500 * INDEX($B$14:$B$19, D41+1), IF(D41=60, 3500*0.3, 0))</f>
        <v>0</v>
      </c>
      <c r="F41" s="18">
        <f t="shared" si="0"/>
        <v>80</v>
      </c>
      <c r="G41" s="18">
        <f t="shared" si="1"/>
        <v>80</v>
      </c>
      <c r="H41" s="17">
        <f t="shared" si="2"/>
        <v>543.40847523100604</v>
      </c>
      <c r="I41" s="20">
        <f t="shared" si="5"/>
        <v>0.98</v>
      </c>
      <c r="J41" s="17">
        <f t="shared" si="6"/>
        <v>532.5403057263859</v>
      </c>
      <c r="K41" s="17">
        <f t="shared" si="3"/>
        <v>452.5403057263859</v>
      </c>
      <c r="L41" s="19">
        <v>0.22550000000000001</v>
      </c>
      <c r="M41" s="17">
        <f t="shared" si="7"/>
        <v>102.04783894130003</v>
      </c>
      <c r="N41" s="21">
        <f t="shared" si="8"/>
        <v>-4422.2017786455099</v>
      </c>
      <c r="P41" s="60"/>
      <c r="Q41" s="60"/>
      <c r="R41" s="60"/>
      <c r="S41" s="60"/>
      <c r="T41" s="60"/>
      <c r="U41" s="3"/>
    </row>
    <row r="42" spans="1:21">
      <c r="D42" s="17">
        <f t="shared" si="4"/>
        <v>39</v>
      </c>
      <c r="E42" s="17" cm="1">
        <f t="array" ref="E42">IF(D42&lt;=5, 9500 * INDEX($B$14:$B$19, D42+1), IF(D42=60, 3500*0.3, 0))</f>
        <v>0</v>
      </c>
      <c r="F42" s="18">
        <f t="shared" si="0"/>
        <v>80</v>
      </c>
      <c r="G42" s="18">
        <f t="shared" si="1"/>
        <v>80</v>
      </c>
      <c r="H42" s="17">
        <f t="shared" si="2"/>
        <v>554.27664473562606</v>
      </c>
      <c r="I42" s="20">
        <f t="shared" si="5"/>
        <v>0.98</v>
      </c>
      <c r="J42" s="17">
        <f t="shared" si="6"/>
        <v>543.19111184091355</v>
      </c>
      <c r="K42" s="17">
        <f t="shared" si="3"/>
        <v>463.19111184091355</v>
      </c>
      <c r="L42" s="19">
        <v>0.21679999999999999</v>
      </c>
      <c r="M42" s="17">
        <f t="shared" si="7"/>
        <v>100.41983304711006</v>
      </c>
      <c r="N42" s="21">
        <f t="shared" si="8"/>
        <v>-4321.7819455983999</v>
      </c>
      <c r="P42" s="60"/>
      <c r="Q42" s="60"/>
      <c r="R42" s="60"/>
      <c r="S42" s="60"/>
      <c r="T42" s="60"/>
      <c r="U42" s="3"/>
    </row>
    <row r="43" spans="1:21">
      <c r="D43" s="17">
        <f t="shared" si="4"/>
        <v>40</v>
      </c>
      <c r="E43" s="17" cm="1">
        <f t="array" ref="E43">IF(D43&lt;=5, 9500 * INDEX($B$14:$B$19, D43+1), IF(D43=60, 3500*0.3, 0))</f>
        <v>0</v>
      </c>
      <c r="F43" s="18">
        <f t="shared" si="0"/>
        <v>80</v>
      </c>
      <c r="G43" s="18">
        <f t="shared" si="1"/>
        <v>80</v>
      </c>
      <c r="H43" s="17">
        <f t="shared" si="2"/>
        <v>565.36217763033869</v>
      </c>
      <c r="I43" s="20">
        <f t="shared" si="5"/>
        <v>0.98</v>
      </c>
      <c r="J43" s="17">
        <f t="shared" si="6"/>
        <v>554.0549340777319</v>
      </c>
      <c r="K43" s="17">
        <f t="shared" si="3"/>
        <v>474.0549340777319</v>
      </c>
      <c r="L43" s="19">
        <v>0.20849999999999999</v>
      </c>
      <c r="M43" s="17">
        <f t="shared" si="7"/>
        <v>98.840453755207093</v>
      </c>
      <c r="N43" s="21">
        <f t="shared" si="8"/>
        <v>-4222.941491843193</v>
      </c>
      <c r="P43" s="60"/>
      <c r="Q43" s="60"/>
      <c r="R43" s="60"/>
      <c r="S43" s="60"/>
      <c r="T43" s="60"/>
      <c r="U43" s="3"/>
    </row>
    <row r="44" spans="1:21">
      <c r="D44" s="17">
        <f t="shared" si="4"/>
        <v>41</v>
      </c>
      <c r="E44" s="17" cm="1">
        <f t="array" ref="E44">IF(D44&lt;=5, 9500 * INDEX($B$14:$B$19, D44+1), IF(D44=60, 3500*0.3, 0))</f>
        <v>0</v>
      </c>
      <c r="F44" s="18">
        <f t="shared" si="0"/>
        <v>80</v>
      </c>
      <c r="G44" s="18">
        <f t="shared" si="1"/>
        <v>80</v>
      </c>
      <c r="H44" s="17">
        <f t="shared" si="2"/>
        <v>576.66942118294548</v>
      </c>
      <c r="I44" s="20">
        <f t="shared" si="5"/>
        <v>0.98</v>
      </c>
      <c r="J44" s="17">
        <f t="shared" si="6"/>
        <v>565.13603275928654</v>
      </c>
      <c r="K44" s="17">
        <f t="shared" si="3"/>
        <v>485.13603275928654</v>
      </c>
      <c r="L44" s="19">
        <v>0.20050000000000001</v>
      </c>
      <c r="M44" s="17">
        <f t="shared" si="7"/>
        <v>97.269774568236954</v>
      </c>
      <c r="N44" s="21">
        <f t="shared" si="8"/>
        <v>-4125.6717172749559</v>
      </c>
      <c r="T44" s="3"/>
      <c r="U44" s="3"/>
    </row>
    <row r="45" spans="1:21">
      <c r="D45" s="17">
        <f t="shared" si="4"/>
        <v>42</v>
      </c>
      <c r="E45" s="17" cm="1">
        <f t="array" ref="E45">IF(D45&lt;=5, 9500 * INDEX($B$14:$B$19, D45+1), IF(D45=60, 3500*0.3, 0))</f>
        <v>0</v>
      </c>
      <c r="F45" s="18">
        <f t="shared" si="0"/>
        <v>80</v>
      </c>
      <c r="G45" s="18">
        <f t="shared" si="1"/>
        <v>80</v>
      </c>
      <c r="H45" s="17">
        <f t="shared" si="2"/>
        <v>588.20280960660432</v>
      </c>
      <c r="I45" s="20">
        <f t="shared" si="5"/>
        <v>0.98</v>
      </c>
      <c r="J45" s="17">
        <f t="shared" si="6"/>
        <v>576.43875341447222</v>
      </c>
      <c r="K45" s="17">
        <f t="shared" si="3"/>
        <v>496.43875341447222</v>
      </c>
      <c r="L45" s="19">
        <v>0.1928</v>
      </c>
      <c r="M45" s="17">
        <f t="shared" si="7"/>
        <v>95.713391658310243</v>
      </c>
      <c r="N45" s="21">
        <f t="shared" si="8"/>
        <v>-4029.9583256166457</v>
      </c>
      <c r="P45" s="13"/>
      <c r="T45" s="3"/>
      <c r="U45" s="3"/>
    </row>
    <row r="46" spans="1:21">
      <c r="D46" s="17">
        <f t="shared" si="4"/>
        <v>43</v>
      </c>
      <c r="E46" s="17" cm="1">
        <f t="array" ref="E46">IF(D46&lt;=5, 9500 * INDEX($B$14:$B$19, D46+1), IF(D46=60, 3500*0.3, 0))</f>
        <v>0</v>
      </c>
      <c r="F46" s="18">
        <f t="shared" si="0"/>
        <v>80</v>
      </c>
      <c r="G46" s="18">
        <f t="shared" si="1"/>
        <v>80</v>
      </c>
      <c r="H46" s="17">
        <f t="shared" si="2"/>
        <v>599.96686579873642</v>
      </c>
      <c r="I46" s="20">
        <f t="shared" si="5"/>
        <v>0.98</v>
      </c>
      <c r="J46" s="17">
        <f t="shared" si="6"/>
        <v>587.96752848276174</v>
      </c>
      <c r="K46" s="17">
        <f t="shared" si="3"/>
        <v>507.96752848276174</v>
      </c>
      <c r="L46" s="19">
        <v>0.18540000000000001</v>
      </c>
      <c r="M46" s="17">
        <f t="shared" si="7"/>
        <v>94.177179780704037</v>
      </c>
      <c r="N46" s="21">
        <f t="shared" si="8"/>
        <v>-3935.7811458359415</v>
      </c>
      <c r="T46" s="3"/>
      <c r="U46" s="3"/>
    </row>
    <row r="47" spans="1:21">
      <c r="D47" s="17">
        <f t="shared" si="4"/>
        <v>44</v>
      </c>
      <c r="E47" s="17" cm="1">
        <f t="array" ref="E47">IF(D47&lt;=5, 9500 * INDEX($B$14:$B$19, D47+1), IF(D47=60, 3500*0.3, 0))</f>
        <v>0</v>
      </c>
      <c r="F47" s="18">
        <f t="shared" si="0"/>
        <v>80</v>
      </c>
      <c r="G47" s="18">
        <f t="shared" si="1"/>
        <v>80</v>
      </c>
      <c r="H47" s="17">
        <f t="shared" si="2"/>
        <v>611.96620311471111</v>
      </c>
      <c r="I47" s="20">
        <f t="shared" si="5"/>
        <v>0.98</v>
      </c>
      <c r="J47" s="17">
        <f t="shared" si="6"/>
        <v>599.72687905241685</v>
      </c>
      <c r="K47" s="17">
        <f t="shared" si="3"/>
        <v>519.72687905241685</v>
      </c>
      <c r="L47" s="19">
        <v>0.17829999999999999</v>
      </c>
      <c r="M47" s="17">
        <f t="shared" si="7"/>
        <v>92.66730253504592</v>
      </c>
      <c r="N47" s="21">
        <f t="shared" si="8"/>
        <v>-3843.1138433008955</v>
      </c>
      <c r="T47" s="3"/>
      <c r="U47" s="3"/>
    </row>
    <row r="48" spans="1:21">
      <c r="D48" s="17">
        <f t="shared" si="4"/>
        <v>45</v>
      </c>
      <c r="E48" s="17" cm="1">
        <f t="array" ref="E48">IF(D48&lt;=5, 9500 * INDEX($B$14:$B$19, D48+1), IF(D48=60, 3500*0.3, 0))</f>
        <v>0</v>
      </c>
      <c r="F48" s="18">
        <f t="shared" si="0"/>
        <v>80</v>
      </c>
      <c r="G48" s="18">
        <f t="shared" si="1"/>
        <v>80</v>
      </c>
      <c r="H48" s="17">
        <f t="shared" si="2"/>
        <v>624.20552717700537</v>
      </c>
      <c r="I48" s="20">
        <f t="shared" si="5"/>
        <v>0.98</v>
      </c>
      <c r="J48" s="17">
        <f t="shared" si="6"/>
        <v>611.7214166334652</v>
      </c>
      <c r="K48" s="17">
        <f t="shared" si="3"/>
        <v>531.7214166334652</v>
      </c>
      <c r="L48" s="19">
        <v>0.17150000000000001</v>
      </c>
      <c r="M48" s="17">
        <f t="shared" si="7"/>
        <v>91.190222952639289</v>
      </c>
      <c r="N48" s="21">
        <f t="shared" si="8"/>
        <v>-3751.923620348256</v>
      </c>
      <c r="T48" s="3"/>
      <c r="U48" s="3"/>
    </row>
    <row r="49" spans="4:21">
      <c r="D49" s="17">
        <f t="shared" si="4"/>
        <v>46</v>
      </c>
      <c r="E49" s="17" cm="1">
        <f t="array" ref="E49">IF(D49&lt;=5, 9500 * INDEX($B$14:$B$19, D49+1), IF(D49=60, 3500*0.3, 0))</f>
        <v>0</v>
      </c>
      <c r="F49" s="18">
        <f t="shared" si="0"/>
        <v>80</v>
      </c>
      <c r="G49" s="18">
        <f t="shared" si="1"/>
        <v>80</v>
      </c>
      <c r="H49" s="17">
        <f t="shared" si="2"/>
        <v>636.68963772054553</v>
      </c>
      <c r="I49" s="20">
        <f t="shared" si="5"/>
        <v>0.98</v>
      </c>
      <c r="J49" s="17">
        <f t="shared" si="6"/>
        <v>623.95584496613458</v>
      </c>
      <c r="K49" s="17">
        <f t="shared" si="3"/>
        <v>543.95584496613458</v>
      </c>
      <c r="L49" s="19">
        <v>0.16489999999999999</v>
      </c>
      <c r="M49" s="17">
        <f t="shared" si="7"/>
        <v>89.698318834915582</v>
      </c>
      <c r="N49" s="21">
        <f t="shared" si="8"/>
        <v>-3662.2253015133406</v>
      </c>
      <c r="T49" s="3"/>
      <c r="U49" s="3"/>
    </row>
    <row r="50" spans="4:21">
      <c r="D50" s="17">
        <f t="shared" si="4"/>
        <v>47</v>
      </c>
      <c r="E50" s="17" cm="1">
        <f t="array" ref="E50">IF(D50&lt;=5, 9500 * INDEX($B$14:$B$19, D50+1), IF(D50=60, 3500*0.3, 0))</f>
        <v>0</v>
      </c>
      <c r="F50" s="18">
        <f t="shared" si="0"/>
        <v>80</v>
      </c>
      <c r="G50" s="18">
        <f t="shared" si="1"/>
        <v>80</v>
      </c>
      <c r="H50" s="17">
        <f t="shared" si="2"/>
        <v>649.42343047495626</v>
      </c>
      <c r="I50" s="20">
        <f t="shared" si="5"/>
        <v>0.98</v>
      </c>
      <c r="J50" s="17">
        <f t="shared" si="6"/>
        <v>636.43496186545713</v>
      </c>
      <c r="K50" s="17">
        <f t="shared" si="3"/>
        <v>556.43496186545713</v>
      </c>
      <c r="L50" s="19">
        <v>0.15859999999999999</v>
      </c>
      <c r="M50" s="17">
        <f t="shared" si="7"/>
        <v>88.250584951861498</v>
      </c>
      <c r="N50" s="21">
        <f t="shared" si="8"/>
        <v>-3573.974716561479</v>
      </c>
      <c r="T50" s="3"/>
      <c r="U50" s="3"/>
    </row>
    <row r="51" spans="4:21">
      <c r="D51" s="17">
        <f t="shared" si="4"/>
        <v>48</v>
      </c>
      <c r="E51" s="17" cm="1">
        <f t="array" ref="E51">IF(D51&lt;=5, 9500 * INDEX($B$14:$B$19, D51+1), IF(D51=60, 3500*0.3, 0))</f>
        <v>0</v>
      </c>
      <c r="F51" s="18">
        <f t="shared" si="0"/>
        <v>80</v>
      </c>
      <c r="G51" s="18">
        <f t="shared" si="1"/>
        <v>80</v>
      </c>
      <c r="H51" s="17">
        <f t="shared" si="2"/>
        <v>662.41189908445551</v>
      </c>
      <c r="I51" s="20">
        <f t="shared" si="5"/>
        <v>0.98</v>
      </c>
      <c r="J51" s="17">
        <f t="shared" si="6"/>
        <v>649.16366110276635</v>
      </c>
      <c r="K51" s="17">
        <f t="shared" si="3"/>
        <v>569.16366110276635</v>
      </c>
      <c r="L51" s="19">
        <v>0.1525</v>
      </c>
      <c r="M51" s="17">
        <f t="shared" si="7"/>
        <v>86.797458318171863</v>
      </c>
      <c r="N51" s="21">
        <f t="shared" si="8"/>
        <v>-3487.1772582433073</v>
      </c>
      <c r="T51" s="3"/>
      <c r="U51" s="3"/>
    </row>
    <row r="52" spans="4:21">
      <c r="D52" s="17">
        <f t="shared" si="4"/>
        <v>49</v>
      </c>
      <c r="E52" s="17" cm="1">
        <f t="array" ref="E52">IF(D52&lt;=5, 9500 * INDEX($B$14:$B$19, D52+1), IF(D52=60, 3500*0.3, 0))</f>
        <v>0</v>
      </c>
      <c r="F52" s="18">
        <f t="shared" si="0"/>
        <v>80</v>
      </c>
      <c r="G52" s="18">
        <f t="shared" si="1"/>
        <v>80</v>
      </c>
      <c r="H52" s="17">
        <f t="shared" si="2"/>
        <v>675.66013706614467</v>
      </c>
      <c r="I52" s="20">
        <f t="shared" si="5"/>
        <v>0.98</v>
      </c>
      <c r="J52" s="17">
        <f t="shared" si="6"/>
        <v>662.14693432482181</v>
      </c>
      <c r="K52" s="17">
        <f t="shared" si="3"/>
        <v>582.14693432482181</v>
      </c>
      <c r="L52" s="19">
        <v>0.1467</v>
      </c>
      <c r="M52" s="17">
        <f t="shared" si="7"/>
        <v>85.400955265451358</v>
      </c>
      <c r="N52" s="21">
        <f t="shared" si="8"/>
        <v>-3401.7763029778557</v>
      </c>
      <c r="T52" s="3"/>
      <c r="U52" s="3"/>
    </row>
    <row r="53" spans="4:21">
      <c r="D53" s="17">
        <f t="shared" si="4"/>
        <v>50</v>
      </c>
      <c r="E53" s="17" cm="1">
        <f t="array" ref="E53">IF(D53&lt;=5, 9500 * INDEX($B$14:$B$19, D53+1), IF(D53=60, 3500*0.3, 0))</f>
        <v>0</v>
      </c>
      <c r="F53" s="18">
        <f t="shared" si="0"/>
        <v>80</v>
      </c>
      <c r="G53" s="18">
        <f t="shared" si="1"/>
        <v>80</v>
      </c>
      <c r="H53" s="17">
        <f t="shared" si="2"/>
        <v>689.17333980746753</v>
      </c>
      <c r="I53" s="20">
        <f t="shared" si="5"/>
        <v>0.98</v>
      </c>
      <c r="J53" s="17">
        <f t="shared" si="6"/>
        <v>675.38987301131817</v>
      </c>
      <c r="K53" s="17">
        <f t="shared" si="3"/>
        <v>595.38987301131817</v>
      </c>
      <c r="L53" s="19">
        <v>0.1411</v>
      </c>
      <c r="M53" s="17">
        <f t="shared" si="7"/>
        <v>84.009511081897003</v>
      </c>
      <c r="N53" s="21">
        <f t="shared" si="8"/>
        <v>-3317.7667918959587</v>
      </c>
      <c r="T53" s="3"/>
      <c r="U53" s="3"/>
    </row>
    <row r="54" spans="4:21">
      <c r="D54" s="17">
        <f t="shared" si="4"/>
        <v>51</v>
      </c>
      <c r="E54" s="17" cm="1">
        <f t="array" ref="E54">IF(D54&lt;=5, 9500 * INDEX($B$14:$B$19, D54+1), IF(D54=60, 3500*0.3, 0))</f>
        <v>0</v>
      </c>
      <c r="F54" s="18">
        <f t="shared" si="0"/>
        <v>80</v>
      </c>
      <c r="G54" s="18">
        <f t="shared" si="1"/>
        <v>80</v>
      </c>
      <c r="H54" s="17">
        <f t="shared" si="2"/>
        <v>702.95680660361677</v>
      </c>
      <c r="I54" s="20">
        <f t="shared" si="5"/>
        <v>0.98</v>
      </c>
      <c r="J54" s="17">
        <f t="shared" si="6"/>
        <v>688.89767047154442</v>
      </c>
      <c r="K54" s="17">
        <f t="shared" si="3"/>
        <v>608.89767047154442</v>
      </c>
      <c r="L54" s="19">
        <v>0.13569999999999999</v>
      </c>
      <c r="M54" s="17">
        <f t="shared" si="7"/>
        <v>82.627413882988563</v>
      </c>
      <c r="N54" s="21">
        <f t="shared" si="8"/>
        <v>-3235.1393780129702</v>
      </c>
      <c r="T54" s="3"/>
      <c r="U54" s="3"/>
    </row>
    <row r="55" spans="4:21">
      <c r="D55" s="17">
        <f t="shared" si="4"/>
        <v>52</v>
      </c>
      <c r="E55" s="17" cm="1">
        <f t="array" ref="E55">IF(D55&lt;=5, 9500 * INDEX($B$14:$B$19, D55+1), IF(D55=60, 3500*0.3, 0))</f>
        <v>0</v>
      </c>
      <c r="F55" s="18">
        <f t="shared" si="0"/>
        <v>80</v>
      </c>
      <c r="G55" s="18">
        <f t="shared" si="1"/>
        <v>80</v>
      </c>
      <c r="H55" s="17">
        <f t="shared" si="2"/>
        <v>717.01594273568924</v>
      </c>
      <c r="I55" s="20">
        <f t="shared" si="5"/>
        <v>0.98</v>
      </c>
      <c r="J55" s="17">
        <f t="shared" si="6"/>
        <v>702.67562388097542</v>
      </c>
      <c r="K55" s="17">
        <f t="shared" si="3"/>
        <v>622.67562388097542</v>
      </c>
      <c r="L55" s="19">
        <v>0.1305</v>
      </c>
      <c r="M55" s="17">
        <f t="shared" si="7"/>
        <v>81.259168916467289</v>
      </c>
      <c r="N55" s="21">
        <f t="shared" si="8"/>
        <v>-3153.8802090965028</v>
      </c>
      <c r="T55" s="3"/>
      <c r="U55" s="3"/>
    </row>
    <row r="56" spans="4:21">
      <c r="D56" s="17">
        <f t="shared" si="4"/>
        <v>53</v>
      </c>
      <c r="E56" s="17" cm="1">
        <f t="array" ref="E56">IF(D56&lt;=5, 9500 * INDEX($B$14:$B$19, D56+1), IF(D56=60, 3500*0.3, 0))</f>
        <v>0</v>
      </c>
      <c r="F56" s="18">
        <f t="shared" si="0"/>
        <v>80</v>
      </c>
      <c r="G56" s="18">
        <f t="shared" si="1"/>
        <v>80</v>
      </c>
      <c r="H56" s="17">
        <f t="shared" si="2"/>
        <v>731.35626159040294</v>
      </c>
      <c r="I56" s="20">
        <f t="shared" si="5"/>
        <v>0.98</v>
      </c>
      <c r="J56" s="17">
        <f t="shared" si="6"/>
        <v>716.72913635859481</v>
      </c>
      <c r="K56" s="17">
        <f t="shared" si="3"/>
        <v>636.72913635859481</v>
      </c>
      <c r="L56" s="19">
        <v>0.1255</v>
      </c>
      <c r="M56" s="17">
        <f t="shared" si="7"/>
        <v>79.909506613003643</v>
      </c>
      <c r="N56" s="21">
        <f t="shared" si="8"/>
        <v>-3073.9707024834993</v>
      </c>
      <c r="T56" s="3"/>
      <c r="U56" s="3"/>
    </row>
    <row r="57" spans="4:21">
      <c r="D57" s="17">
        <f t="shared" si="4"/>
        <v>54</v>
      </c>
      <c r="E57" s="17" cm="1">
        <f t="array" ref="E57">IF(D57&lt;=5, 9500 * INDEX($B$14:$B$19, D57+1), IF(D57=60, 3500*0.3, 0))</f>
        <v>0</v>
      </c>
      <c r="F57" s="18">
        <f t="shared" si="0"/>
        <v>80</v>
      </c>
      <c r="G57" s="18">
        <f t="shared" si="1"/>
        <v>80</v>
      </c>
      <c r="H57" s="17">
        <f t="shared" si="2"/>
        <v>745.98338682221117</v>
      </c>
      <c r="I57" s="20">
        <f t="shared" si="5"/>
        <v>0.98</v>
      </c>
      <c r="J57" s="17">
        <f t="shared" si="6"/>
        <v>731.06371908576693</v>
      </c>
      <c r="K57" s="17">
        <f t="shared" si="3"/>
        <v>651.06371908576693</v>
      </c>
      <c r="L57" s="19">
        <v>0.1207</v>
      </c>
      <c r="M57" s="17">
        <f t="shared" si="7"/>
        <v>78.583390893652066</v>
      </c>
      <c r="N57" s="21">
        <f t="shared" si="8"/>
        <v>-2995.3873115898473</v>
      </c>
      <c r="T57" s="3"/>
      <c r="U57" s="3"/>
    </row>
    <row r="58" spans="4:21">
      <c r="D58" s="17">
        <f t="shared" si="4"/>
        <v>55</v>
      </c>
      <c r="E58" s="17" cm="1">
        <f t="array" ref="E58">IF(D58&lt;=5, 9500 * INDEX($B$14:$B$19, D58+1), IF(D58=60, 3500*0.3, 0))</f>
        <v>0</v>
      </c>
      <c r="F58" s="18">
        <f t="shared" si="0"/>
        <v>80</v>
      </c>
      <c r="G58" s="18">
        <f t="shared" si="1"/>
        <v>80</v>
      </c>
      <c r="H58" s="17">
        <f t="shared" si="2"/>
        <v>760.90305455865507</v>
      </c>
      <c r="I58" s="20">
        <f t="shared" si="5"/>
        <v>0.98</v>
      </c>
      <c r="J58" s="17">
        <f t="shared" si="6"/>
        <v>745.68499346748195</v>
      </c>
      <c r="K58" s="17">
        <f t="shared" si="3"/>
        <v>665.68499346748195</v>
      </c>
      <c r="L58" s="19">
        <v>0.11609999999999999</v>
      </c>
      <c r="M58" s="17">
        <f t="shared" si="7"/>
        <v>77.286027741574657</v>
      </c>
      <c r="N58" s="21">
        <f t="shared" si="8"/>
        <v>-2918.1012838482725</v>
      </c>
      <c r="T58" s="3"/>
      <c r="U58" s="3"/>
    </row>
    <row r="59" spans="4:21">
      <c r="D59" s="17">
        <f t="shared" si="4"/>
        <v>56</v>
      </c>
      <c r="E59" s="17" cm="1">
        <f t="array" ref="E59">IF(D59&lt;=5, 9500 * INDEX($B$14:$B$19, D59+1), IF(D59=60, 3500*0.3, 0))</f>
        <v>0</v>
      </c>
      <c r="F59" s="18">
        <f t="shared" si="0"/>
        <v>80</v>
      </c>
      <c r="G59" s="18">
        <f t="shared" si="1"/>
        <v>80</v>
      </c>
      <c r="H59" s="17">
        <f t="shared" si="2"/>
        <v>776.12111564982831</v>
      </c>
      <c r="I59" s="20">
        <f t="shared" si="5"/>
        <v>0.98</v>
      </c>
      <c r="J59" s="17">
        <f t="shared" si="6"/>
        <v>760.59869333683173</v>
      </c>
      <c r="K59" s="17">
        <f t="shared" si="3"/>
        <v>680.59869333683173</v>
      </c>
      <c r="L59" s="19">
        <v>0.11169999999999999</v>
      </c>
      <c r="M59" s="17">
        <f t="shared" si="7"/>
        <v>76.022874045724095</v>
      </c>
      <c r="N59" s="21">
        <f t="shared" si="8"/>
        <v>-2842.0784098025483</v>
      </c>
      <c r="T59" s="3"/>
      <c r="U59" s="3"/>
    </row>
    <row r="60" spans="4:21">
      <c r="D60" s="17">
        <f t="shared" si="4"/>
        <v>57</v>
      </c>
      <c r="E60" s="17" cm="1">
        <f t="array" ref="E60">IF(D60&lt;=5, 9500 * INDEX($B$14:$B$19, D60+1), IF(D60=60, 3500*0.3, 0))</f>
        <v>0</v>
      </c>
      <c r="F60" s="18">
        <f t="shared" si="0"/>
        <v>80</v>
      </c>
      <c r="G60" s="18">
        <f t="shared" si="1"/>
        <v>80</v>
      </c>
      <c r="H60" s="17">
        <f t="shared" si="2"/>
        <v>791.64353796282489</v>
      </c>
      <c r="I60" s="20">
        <f t="shared" si="5"/>
        <v>0.98</v>
      </c>
      <c r="J60" s="17">
        <f t="shared" si="6"/>
        <v>775.81066720356841</v>
      </c>
      <c r="K60" s="17">
        <f t="shared" si="3"/>
        <v>695.81066720356841</v>
      </c>
      <c r="L60" s="19">
        <v>0.1074</v>
      </c>
      <c r="M60" s="17">
        <f t="shared" si="7"/>
        <v>74.730065657663246</v>
      </c>
      <c r="N60" s="21">
        <f t="shared" si="8"/>
        <v>-2767.3483441448852</v>
      </c>
      <c r="T60" s="3"/>
      <c r="U60" s="3"/>
    </row>
    <row r="61" spans="4:21">
      <c r="D61" s="17">
        <f t="shared" si="4"/>
        <v>58</v>
      </c>
      <c r="E61" s="17" cm="1">
        <f t="array" ref="E61">IF(D61&lt;=5, 9500 * INDEX($B$14:$B$19, D61+1), IF(D61=60, 3500*0.3, 0))</f>
        <v>0</v>
      </c>
      <c r="F61" s="18">
        <f t="shared" si="0"/>
        <v>80</v>
      </c>
      <c r="G61" s="18">
        <f t="shared" si="1"/>
        <v>80</v>
      </c>
      <c r="H61" s="17">
        <f t="shared" si="2"/>
        <v>807.47640872208137</v>
      </c>
      <c r="I61" s="20">
        <f t="shared" si="5"/>
        <v>0.98</v>
      </c>
      <c r="J61" s="17">
        <f t="shared" si="6"/>
        <v>791.32688054763969</v>
      </c>
      <c r="K61" s="17">
        <f t="shared" si="3"/>
        <v>711.32688054763969</v>
      </c>
      <c r="L61" s="19">
        <v>0.1033</v>
      </c>
      <c r="M61" s="17">
        <f t="shared" si="7"/>
        <v>73.480066760571177</v>
      </c>
      <c r="N61" s="21">
        <f t="shared" si="8"/>
        <v>-2693.8682773843138</v>
      </c>
      <c r="T61" s="3"/>
      <c r="U61" s="3"/>
    </row>
    <row r="62" spans="4:21">
      <c r="D62" s="17">
        <f t="shared" si="4"/>
        <v>59</v>
      </c>
      <c r="E62" s="17" cm="1">
        <f t="array" ref="E62">IF(D62&lt;=5, 9500 * INDEX($B$14:$B$19, D62+1), IF(D62=60, 3500*0.3, 0))</f>
        <v>0</v>
      </c>
      <c r="F62" s="18">
        <f t="shared" si="0"/>
        <v>80</v>
      </c>
      <c r="G62" s="18">
        <f t="shared" si="1"/>
        <v>80</v>
      </c>
      <c r="H62" s="17">
        <f t="shared" si="2"/>
        <v>823.62593689652294</v>
      </c>
      <c r="I62" s="20">
        <f t="shared" si="5"/>
        <v>0.98</v>
      </c>
      <c r="J62" s="17">
        <f t="shared" si="6"/>
        <v>807.15341815859244</v>
      </c>
      <c r="K62" s="17">
        <f t="shared" si="3"/>
        <v>727.15341815859244</v>
      </c>
      <c r="L62" s="19">
        <v>9.9400000000000002E-2</v>
      </c>
      <c r="M62" s="17">
        <f t="shared" si="7"/>
        <v>72.279049764964086</v>
      </c>
      <c r="N62" s="21">
        <f t="shared" si="8"/>
        <v>-2621.5892276193499</v>
      </c>
      <c r="T62" s="3"/>
      <c r="U62" s="3"/>
    </row>
    <row r="63" spans="4:21">
      <c r="D63" s="35">
        <f t="shared" si="4"/>
        <v>60</v>
      </c>
      <c r="E63" s="44">
        <f>2850</f>
        <v>2850</v>
      </c>
      <c r="F63" s="5">
        <f t="shared" si="0"/>
        <v>80</v>
      </c>
      <c r="G63" s="38">
        <f>E63+F63</f>
        <v>2930</v>
      </c>
      <c r="H63" s="35">
        <f t="shared" si="2"/>
        <v>840.09845563445356</v>
      </c>
      <c r="I63" s="36">
        <f t="shared" si="5"/>
        <v>0.98</v>
      </c>
      <c r="J63" s="35">
        <f t="shared" si="6"/>
        <v>823.29648652176445</v>
      </c>
      <c r="K63" s="35">
        <f>J63 - E63 - F63 + IF(D63=60, 2850, 0)</f>
        <v>743.29648652176456</v>
      </c>
      <c r="L63" s="37">
        <v>9.5600000000000004E-2</v>
      </c>
      <c r="M63" s="35">
        <f t="shared" si="7"/>
        <v>71.059144111480691</v>
      </c>
      <c r="N63" s="38">
        <f>N62+M63</f>
        <v>-2550.5300835078692</v>
      </c>
      <c r="T63" s="3"/>
      <c r="U63" s="3"/>
    </row>
    <row r="64" spans="4:21">
      <c r="T64" s="3"/>
      <c r="U64" s="3"/>
    </row>
    <row r="65" spans="1:21" ht="23.5">
      <c r="A65" s="4"/>
      <c r="Q65" s="64" t="s">
        <v>80</v>
      </c>
      <c r="R65" s="64"/>
      <c r="S65" s="64"/>
      <c r="T65" s="64"/>
      <c r="U65" s="3"/>
    </row>
    <row r="66" spans="1:21" ht="23.5">
      <c r="P66" s="2"/>
      <c r="Q66" s="33" t="s">
        <v>81</v>
      </c>
      <c r="R66" s="33" t="s">
        <v>82</v>
      </c>
      <c r="S66" s="33" t="s">
        <v>83</v>
      </c>
      <c r="T66" s="33" t="s">
        <v>84</v>
      </c>
      <c r="U66" s="3"/>
    </row>
    <row r="67" spans="1:21" ht="29">
      <c r="Q67" s="7" t="s">
        <v>85</v>
      </c>
      <c r="R67" s="7" t="s">
        <v>86</v>
      </c>
      <c r="S67" s="7" t="s">
        <v>87</v>
      </c>
      <c r="T67" s="7" t="s">
        <v>88</v>
      </c>
      <c r="U67" s="3"/>
    </row>
    <row r="68" spans="1:21" ht="29">
      <c r="Q68" s="7" t="s">
        <v>89</v>
      </c>
      <c r="R68" s="7" t="s">
        <v>90</v>
      </c>
      <c r="S68" s="7" t="s">
        <v>87</v>
      </c>
      <c r="T68" s="7" t="s">
        <v>91</v>
      </c>
    </row>
    <row r="69" spans="1:21" ht="29">
      <c r="Q69" s="7" t="s">
        <v>92</v>
      </c>
      <c r="R69" s="7" t="s">
        <v>93</v>
      </c>
      <c r="S69" s="7" t="s">
        <v>94</v>
      </c>
      <c r="T69" s="7" t="s">
        <v>95</v>
      </c>
    </row>
    <row r="70" spans="1:21" ht="29">
      <c r="Q70" s="7" t="s">
        <v>96</v>
      </c>
      <c r="R70" s="7" t="s">
        <v>97</v>
      </c>
      <c r="S70" s="7" t="s">
        <v>94</v>
      </c>
      <c r="T70" s="7" t="s">
        <v>98</v>
      </c>
    </row>
    <row r="71" spans="1:21" ht="29">
      <c r="Q71" s="7" t="s">
        <v>99</v>
      </c>
      <c r="R71" s="7" t="s">
        <v>100</v>
      </c>
      <c r="S71" s="7" t="s">
        <v>94</v>
      </c>
      <c r="T71" s="7" t="s">
        <v>101</v>
      </c>
    </row>
  </sheetData>
  <mergeCells count="10">
    <mergeCell ref="P39:T43"/>
    <mergeCell ref="A22:C22"/>
    <mergeCell ref="Q65:T65"/>
    <mergeCell ref="X2:Z2"/>
    <mergeCell ref="A1:B1"/>
    <mergeCell ref="D1:N1"/>
    <mergeCell ref="P2:R2"/>
    <mergeCell ref="T2:V2"/>
    <mergeCell ref="P16:T16"/>
    <mergeCell ref="T10:V14"/>
  </mergeCells>
  <conditionalFormatting sqref="R67:R71">
    <cfRule type="colorScale" priority="3">
      <colorScale>
        <cfvo type="min"/>
        <cfvo type="max"/>
        <color rgb="FFFF7128"/>
        <color rgb="FFFFEF9C"/>
      </colorScale>
    </cfRule>
    <cfRule type="colorScale" priority="5">
      <colorScale>
        <cfvo type="min"/>
        <cfvo type="percentile" val="50"/>
        <cfvo type="max"/>
        <color rgb="FF63BE7B"/>
        <color rgb="FFFFEB84"/>
        <color rgb="FFF8696B"/>
      </colorScale>
    </cfRule>
  </conditionalFormatting>
  <conditionalFormatting sqref="S67:S71">
    <cfRule type="colorScale" priority="4">
      <colorScale>
        <cfvo type="min"/>
        <cfvo type="percentile" val="50"/>
        <cfvo type="max"/>
        <color rgb="FF63BE7B"/>
        <color rgb="FFFFEB84"/>
        <color rgb="FFF8696B"/>
      </colorScale>
    </cfRule>
  </conditionalFormatting>
  <conditionalFormatting sqref="U4:U8">
    <cfRule type="cellIs" dxfId="1" priority="1" operator="between">
      <formula>1</formula>
      <formula>2</formula>
    </cfRule>
    <cfRule type="cellIs" dxfId="0" priority="2" operator="lessThan">
      <formula>1</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MetroLink_CBA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Mohamed Abdurrahman</cp:lastModifiedBy>
  <dcterms:created xsi:type="dcterms:W3CDTF">2015-06-05T18:17:20Z</dcterms:created>
  <dcterms:modified xsi:type="dcterms:W3CDTF">2026-04-27T21:03:47Z</dcterms:modified>
</cp:coreProperties>
</file>